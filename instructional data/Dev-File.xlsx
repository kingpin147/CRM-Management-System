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tix Laptop\Desktop\"/>
    </mc:Choice>
  </mc:AlternateContent>
  <xr:revisionPtr revIDLastSave="0" documentId="13_ncr:1_{66A21A3E-E731-4686-9DA8-BE091C2F1528}" xr6:coauthVersionLast="47" xr6:coauthVersionMax="47" xr10:uidLastSave="{00000000-0000-0000-0000-000000000000}"/>
  <bookViews>
    <workbookView xWindow="-120" yWindow="-120" windowWidth="20730" windowHeight="11160" activeTab="1" xr2:uid="{1285CAC6-C181-441B-A75F-51E1D646DA7A}"/>
  </bookViews>
  <sheets>
    <sheet name="Working" sheetId="1" r:id="rId1"/>
    <sheet name="Sign Up Form" sheetId="2" r:id="rId2"/>
    <sheet name="Packages " sheetId="3" r:id="rId3"/>
  </sheets>
  <definedNames>
    <definedName name="_xlnm.Print_Area" localSheetId="2">'Packages '!$A$1:$W$30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0" i="3" l="1"/>
  <c r="T30" i="3"/>
  <c r="Q30" i="3"/>
  <c r="R30" i="3" s="1"/>
  <c r="O30" i="3"/>
  <c r="N30" i="3"/>
  <c r="I30" i="3"/>
  <c r="J30" i="3" s="1"/>
  <c r="G30" i="3"/>
  <c r="F30" i="3"/>
  <c r="C30" i="3"/>
  <c r="D30" i="3" s="1"/>
  <c r="S29" i="3"/>
  <c r="R29" i="3"/>
  <c r="Q29" i="3"/>
  <c r="P29" i="3"/>
  <c r="N29" i="3"/>
  <c r="O29" i="3" s="1"/>
  <c r="M29" i="3"/>
  <c r="H29" i="3"/>
  <c r="E29" i="3"/>
  <c r="D29" i="3"/>
  <c r="C29" i="3"/>
  <c r="B29" i="3"/>
  <c r="T28" i="3"/>
  <c r="U28" i="3" s="1"/>
  <c r="S28" i="3"/>
  <c r="P28" i="3"/>
  <c r="M28" i="3"/>
  <c r="J28" i="3"/>
  <c r="I28" i="3"/>
  <c r="H28" i="3"/>
  <c r="F28" i="3"/>
  <c r="G28" i="3" s="1"/>
  <c r="E28" i="3"/>
  <c r="B28" i="3"/>
  <c r="S27" i="3"/>
  <c r="R27" i="3"/>
  <c r="Q27" i="3"/>
  <c r="P27" i="3"/>
  <c r="N27" i="3"/>
  <c r="O27" i="3" s="1"/>
  <c r="M27" i="3"/>
  <c r="H27" i="3"/>
  <c r="E27" i="3"/>
  <c r="D27" i="3"/>
  <c r="C27" i="3"/>
  <c r="B27" i="3"/>
  <c r="T23" i="3"/>
  <c r="U23" i="3" s="1"/>
  <c r="R23" i="3"/>
  <c r="Q23" i="3"/>
  <c r="N23" i="3"/>
  <c r="O23" i="3" s="1"/>
  <c r="J23" i="3"/>
  <c r="I23" i="3"/>
  <c r="F23" i="3"/>
  <c r="G23" i="3" s="1"/>
  <c r="D23" i="3"/>
  <c r="C23" i="3"/>
  <c r="T22" i="3"/>
  <c r="U22" i="3" s="1"/>
  <c r="S22" i="3"/>
  <c r="P22" i="3"/>
  <c r="M22" i="3"/>
  <c r="J22" i="3"/>
  <c r="I22" i="3"/>
  <c r="H22" i="3"/>
  <c r="F22" i="3"/>
  <c r="G22" i="3" s="1"/>
  <c r="E22" i="3"/>
  <c r="B22" i="3"/>
  <c r="S21" i="3"/>
  <c r="R21" i="3"/>
  <c r="Q21" i="3"/>
  <c r="P21" i="3"/>
  <c r="N21" i="3"/>
  <c r="O21" i="3" s="1"/>
  <c r="M21" i="3"/>
  <c r="H21" i="3"/>
  <c r="E21" i="3"/>
  <c r="D21" i="3"/>
  <c r="C21" i="3"/>
  <c r="B21" i="3"/>
  <c r="T20" i="3"/>
  <c r="U20" i="3" s="1"/>
  <c r="S20" i="3"/>
  <c r="P20" i="3"/>
  <c r="M20" i="3"/>
  <c r="H20" i="3"/>
  <c r="I20" i="3" s="1"/>
  <c r="J20" i="3" s="1"/>
  <c r="F20" i="3"/>
  <c r="G20" i="3" s="1"/>
  <c r="E20" i="3"/>
  <c r="B20" i="3"/>
  <c r="T16" i="3"/>
  <c r="U16" i="3" s="1"/>
  <c r="Q16" i="3"/>
  <c r="R16" i="3" s="1"/>
  <c r="N16" i="3"/>
  <c r="O16" i="3" s="1"/>
  <c r="I16" i="3"/>
  <c r="J16" i="3" s="1"/>
  <c r="F16" i="3"/>
  <c r="G16" i="3" s="1"/>
  <c r="C16" i="3"/>
  <c r="D16" i="3" s="1"/>
  <c r="S15" i="3"/>
  <c r="P15" i="3"/>
  <c r="Q15" i="3" s="1"/>
  <c r="R15" i="3" s="1"/>
  <c r="N15" i="3"/>
  <c r="O15" i="3" s="1"/>
  <c r="M15" i="3"/>
  <c r="H15" i="3"/>
  <c r="E15" i="3"/>
  <c r="B15" i="3"/>
  <c r="C15" i="3" s="1"/>
  <c r="D15" i="3" s="1"/>
  <c r="T14" i="3"/>
  <c r="U14" i="3" s="1"/>
  <c r="S14" i="3"/>
  <c r="P14" i="3"/>
  <c r="M14" i="3"/>
  <c r="H14" i="3"/>
  <c r="I14" i="3" s="1"/>
  <c r="J14" i="3" s="1"/>
  <c r="F14" i="3"/>
  <c r="G14" i="3" s="1"/>
  <c r="E14" i="3"/>
  <c r="B14" i="3"/>
  <c r="S13" i="3"/>
  <c r="P13" i="3"/>
  <c r="Q13" i="3" s="1"/>
  <c r="R13" i="3" s="1"/>
  <c r="N13" i="3"/>
  <c r="O13" i="3" s="1"/>
  <c r="M13" i="3"/>
  <c r="H13" i="3"/>
  <c r="E13" i="3"/>
  <c r="B13" i="3"/>
  <c r="C13" i="3" s="1"/>
  <c r="D13" i="3" s="1"/>
  <c r="T9" i="3"/>
  <c r="U9" i="3" s="1"/>
  <c r="Q9" i="3"/>
  <c r="R9" i="3" s="1"/>
  <c r="N9" i="3"/>
  <c r="O9" i="3" s="1"/>
  <c r="I9" i="3"/>
  <c r="J9" i="3" s="1"/>
  <c r="F9" i="3"/>
  <c r="G9" i="3" s="1"/>
  <c r="C9" i="3"/>
  <c r="D9" i="3" s="1"/>
  <c r="T8" i="3"/>
  <c r="U8" i="3" s="1"/>
  <c r="Q8" i="3"/>
  <c r="R8" i="3" s="1"/>
  <c r="N8" i="3"/>
  <c r="O8" i="3" s="1"/>
  <c r="I8" i="3"/>
  <c r="J8" i="3" s="1"/>
  <c r="F8" i="3"/>
  <c r="G8" i="3" s="1"/>
  <c r="C8" i="3"/>
  <c r="D8" i="3" s="1"/>
  <c r="T7" i="3"/>
  <c r="U7" i="3" s="1"/>
  <c r="Q7" i="3"/>
  <c r="R7" i="3" s="1"/>
  <c r="N7" i="3"/>
  <c r="O7" i="3" s="1"/>
  <c r="I7" i="3"/>
  <c r="J7" i="3" s="1"/>
  <c r="F7" i="3"/>
  <c r="G7" i="3" s="1"/>
  <c r="C7" i="3"/>
  <c r="D7" i="3" s="1"/>
  <c r="T6" i="3"/>
  <c r="U6" i="3" s="1"/>
  <c r="Q6" i="3"/>
  <c r="R6" i="3" s="1"/>
  <c r="N6" i="3"/>
  <c r="O6" i="3" s="1"/>
  <c r="I6" i="3"/>
  <c r="J6" i="3" s="1"/>
  <c r="F6" i="3"/>
  <c r="G6" i="3" s="1"/>
  <c r="C6" i="3"/>
  <c r="D6" i="3" s="1"/>
  <c r="C38" i="2"/>
  <c r="G82" i="1"/>
  <c r="G83" i="1" s="1"/>
  <c r="G84" i="1" s="1"/>
  <c r="A35" i="1"/>
  <c r="A24" i="1"/>
  <c r="A12" i="1"/>
  <c r="A11" i="1"/>
  <c r="A7" i="1"/>
  <c r="A6" i="1"/>
  <c r="A5" i="1"/>
  <c r="O14" i="3" l="1"/>
  <c r="D22" i="3"/>
  <c r="G15" i="3"/>
  <c r="U27" i="3"/>
  <c r="J15" i="3"/>
  <c r="G21" i="3"/>
  <c r="J13" i="3"/>
  <c r="R22" i="3"/>
  <c r="I13" i="3"/>
  <c r="C14" i="3"/>
  <c r="D14" i="3" s="1"/>
  <c r="Q14" i="3"/>
  <c r="R14" i="3" s="1"/>
  <c r="I15" i="3"/>
  <c r="C20" i="3"/>
  <c r="D20" i="3" s="1"/>
  <c r="Q20" i="3"/>
  <c r="R20" i="3" s="1"/>
  <c r="I21" i="3"/>
  <c r="J21" i="3" s="1"/>
  <c r="C22" i="3"/>
  <c r="Q22" i="3"/>
  <c r="I27" i="3"/>
  <c r="J27" i="3" s="1"/>
  <c r="C28" i="3"/>
  <c r="D28" i="3" s="1"/>
  <c r="Q28" i="3"/>
  <c r="R28" i="3" s="1"/>
  <c r="I29" i="3"/>
  <c r="J29" i="3" s="1"/>
  <c r="F13" i="3"/>
  <c r="G13" i="3" s="1"/>
  <c r="T13" i="3"/>
  <c r="U13" i="3" s="1"/>
  <c r="N14" i="3"/>
  <c r="F15" i="3"/>
  <c r="T15" i="3"/>
  <c r="U15" i="3" s="1"/>
  <c r="N20" i="3"/>
  <c r="O20" i="3" s="1"/>
  <c r="F21" i="3"/>
  <c r="T21" i="3"/>
  <c r="U21" i="3" s="1"/>
  <c r="N22" i="3"/>
  <c r="O22" i="3" s="1"/>
  <c r="F27" i="3"/>
  <c r="G27" i="3" s="1"/>
  <c r="T27" i="3"/>
  <c r="N28" i="3"/>
  <c r="O28" i="3" s="1"/>
  <c r="F29" i="3"/>
  <c r="G29" i="3" s="1"/>
  <c r="T29" i="3"/>
  <c r="U29" i="3" s="1"/>
</calcChain>
</file>

<file path=xl/sharedStrings.xml><?xml version="1.0" encoding="utf-8"?>
<sst xmlns="http://schemas.openxmlformats.org/spreadsheetml/2006/main" count="703" uniqueCount="405">
  <si>
    <t>EnergyGurus</t>
  </si>
  <si>
    <t>CRM Management System Requirements</t>
  </si>
  <si>
    <t>Overview</t>
  </si>
  <si>
    <t>User Roles &amp; Authentication</t>
  </si>
  <si>
    <r>
      <t>Authentication</t>
    </r>
    <r>
      <rPr>
        <sz val="11"/>
        <color theme="1"/>
        <rFont val="Calibri"/>
        <family val="2"/>
        <scheme val="minor"/>
      </rPr>
      <t>: The home page of the application always starts with the Sign-in page.</t>
    </r>
  </si>
  <si>
    <r>
      <t>Registration</t>
    </r>
    <r>
      <rPr>
        <sz val="11"/>
        <color theme="1"/>
        <rFont val="Calibri"/>
        <family val="2"/>
        <scheme val="minor"/>
      </rPr>
      <t>: There will be no sign-up page, as the system is invite-only.</t>
    </r>
  </si>
  <si>
    <r>
      <t>Roles</t>
    </r>
    <r>
      <rPr>
        <sz val="11"/>
        <color theme="1"/>
        <rFont val="Calibri"/>
        <family val="2"/>
        <scheme val="minor"/>
      </rPr>
      <t>: The system supports the following initial roles (specific feature access and permissions will be defined later)</t>
    </r>
  </si>
  <si>
    <t>Super Admin</t>
  </si>
  <si>
    <r>
      <t xml:space="preserve">Admin: </t>
    </r>
    <r>
      <rPr>
        <sz val="11"/>
        <color theme="1"/>
        <rFont val="Calibri"/>
        <family val="2"/>
        <scheme val="minor"/>
      </rPr>
      <t>will be create user name and passwrords of users and assigned the access and permissions to the manager</t>
    </r>
  </si>
  <si>
    <r>
      <t xml:space="preserve">Manager: </t>
    </r>
    <r>
      <rPr>
        <sz val="11"/>
        <color theme="1"/>
        <rFont val="Calibri"/>
        <family val="2"/>
        <scheme val="minor"/>
      </rPr>
      <t>Manager of relivant department sales, billing and technical will be be approved new Sales process</t>
    </r>
  </si>
  <si>
    <r>
      <t>Post-Login Routing</t>
    </r>
    <r>
      <rPr>
        <sz val="11"/>
        <color theme="1"/>
        <rFont val="Calibri"/>
        <family val="2"/>
        <scheme val="minor"/>
      </rPr>
      <t>: After successful login, users are redirected directly to the User Search Page.</t>
    </r>
  </si>
  <si>
    <r>
      <t>Navigation Menu</t>
    </r>
    <r>
      <rPr>
        <sz val="11"/>
        <color theme="1"/>
        <rFont val="Calibri"/>
        <family val="2"/>
        <scheme val="minor"/>
      </rPr>
      <t>: The top menu for these roles contains 4 basic tabs with specific sub-menus</t>
    </r>
  </si>
  <si>
    <r>
      <t>Sales</t>
    </r>
    <r>
      <rPr>
        <sz val="11"/>
        <color theme="1"/>
        <rFont val="Calibri"/>
        <family val="2"/>
        <scheme val="minor"/>
      </rPr>
      <t>: Create Sale, Pending Sale</t>
    </r>
  </si>
  <si>
    <t>After Creating sales by a sales person job will be sent to sales manager, After Approval It will be sent to Billing Manager, and after Paymnet verification Job will be sent to SD Manager</t>
  </si>
  <si>
    <r>
      <t>Complain Management</t>
    </r>
    <r>
      <rPr>
        <sz val="11"/>
        <color theme="1"/>
        <rFont val="Calibri"/>
        <family val="2"/>
        <scheme val="minor"/>
      </rPr>
      <t>: Pending Complains</t>
    </r>
  </si>
  <si>
    <r>
      <t>Reports</t>
    </r>
    <r>
      <rPr>
        <sz val="11"/>
        <color theme="1"/>
        <rFont val="Calibri"/>
        <family val="2"/>
        <scheme val="minor"/>
      </rPr>
      <t>: Customer Status Report, Sales Report, Customer Receivable, Adjustment Report, Payments Report, Customer Register</t>
    </r>
  </si>
  <si>
    <r>
      <t>Service Delivery</t>
    </r>
    <r>
      <rPr>
        <sz val="11"/>
        <color theme="1"/>
        <rFont val="Calibri"/>
        <family val="2"/>
        <scheme val="minor"/>
      </rPr>
      <t>: Inventory Management</t>
    </r>
  </si>
  <si>
    <t>2.1 Sales Manager &amp; Manager Roles</t>
  </si>
  <si>
    <r>
      <t>Post-Login Routing</t>
    </r>
    <r>
      <rPr>
        <sz val="11"/>
        <color theme="1"/>
        <rFont val="Calibri"/>
        <family val="2"/>
        <scheme val="minor"/>
      </rPr>
      <t>: After sign-in, the User/Search page opens automatically, displaying the search form and data table.</t>
    </r>
  </si>
  <si>
    <r>
      <t xml:space="preserve">After Search a Customer: </t>
    </r>
    <r>
      <rPr>
        <sz val="11"/>
        <color theme="1"/>
        <rFont val="Calibri"/>
        <family val="2"/>
        <scheme val="minor"/>
      </rPr>
      <t>Customer details will be open on new page on Customer proile with following menus tab</t>
    </r>
  </si>
  <si>
    <t>Customer Profile</t>
  </si>
  <si>
    <t>Package Details</t>
  </si>
  <si>
    <t>Customer Ledger</t>
  </si>
  <si>
    <t>Create Ticket</t>
  </si>
  <si>
    <t>Complaints Details</t>
  </si>
  <si>
    <t>On profile page will be find the following details</t>
  </si>
  <si>
    <t>Customer ID</t>
  </si>
  <si>
    <t>Customer Name</t>
  </si>
  <si>
    <t>Installation Address:</t>
  </si>
  <si>
    <t>Contact #</t>
  </si>
  <si>
    <t>Customer Type</t>
  </si>
  <si>
    <t>Residential</t>
  </si>
  <si>
    <t>Corporate</t>
  </si>
  <si>
    <t>Industrial</t>
  </si>
  <si>
    <t>Customer Status</t>
  </si>
  <si>
    <t>Active</t>
  </si>
  <si>
    <t>Temporary Blocked</t>
  </si>
  <si>
    <t>Terminated</t>
  </si>
  <si>
    <t>Email:</t>
  </si>
  <si>
    <t>CRF Number:</t>
  </si>
  <si>
    <t>Activation Date:</t>
  </si>
  <si>
    <t>CNIC #</t>
  </si>
  <si>
    <r>
      <rPr>
        <b/>
        <sz val="11"/>
        <color theme="1"/>
        <rFont val="Calibri"/>
        <family val="2"/>
        <scheme val="minor"/>
      </rPr>
      <t>System Type</t>
    </r>
    <r>
      <rPr>
        <sz val="11"/>
        <color theme="1"/>
        <rFont val="Calibri"/>
        <family val="2"/>
        <scheme val="minor"/>
      </rPr>
      <t>:</t>
    </r>
  </si>
  <si>
    <t>1 – 10 kW</t>
  </si>
  <si>
    <t>10 – 20 kW</t>
  </si>
  <si>
    <t>20 – 30 kW</t>
  </si>
  <si>
    <t>30 kW &amp; Above</t>
  </si>
  <si>
    <t>Package:</t>
  </si>
  <si>
    <t>Basic</t>
  </si>
  <si>
    <t>Moderate</t>
  </si>
  <si>
    <t>Comprehensive</t>
  </si>
  <si>
    <t>Billing Type</t>
  </si>
  <si>
    <t>Monthly</t>
  </si>
  <si>
    <t>Quarterly</t>
  </si>
  <si>
    <t>Half Yearly</t>
  </si>
  <si>
    <t>Yearly</t>
  </si>
  <si>
    <t>Monitoring Time</t>
  </si>
  <si>
    <t>12 hours</t>
  </si>
  <si>
    <t>24 hours</t>
  </si>
  <si>
    <t>Next Billing date</t>
  </si>
  <si>
    <t>Next billing date will be appear as per billing type</t>
  </si>
  <si>
    <t>Meter Type</t>
  </si>
  <si>
    <t>Green Meter</t>
  </si>
  <si>
    <t>Non Green</t>
  </si>
  <si>
    <t>Zero Export Device</t>
  </si>
  <si>
    <t>Intalled</t>
  </si>
  <si>
    <t>Not Installed</t>
  </si>
  <si>
    <t>Inverter Brand</t>
  </si>
  <si>
    <t>Inverter Type</t>
  </si>
  <si>
    <t>Hybrid</t>
  </si>
  <si>
    <t>Ongrid</t>
  </si>
  <si>
    <t>Hybrid+Ongrid</t>
  </si>
  <si>
    <t>No Of Inverter</t>
  </si>
  <si>
    <t>Inverter Serial #</t>
  </si>
  <si>
    <t>Panel Type</t>
  </si>
  <si>
    <t>Battery Type</t>
  </si>
  <si>
    <t>Lithium High Voltage</t>
  </si>
  <si>
    <t>Lithium Voltage Voltage</t>
  </si>
  <si>
    <t>Leadacid</t>
  </si>
  <si>
    <t>Battery Brand</t>
  </si>
  <si>
    <t>No Of Battery</t>
  </si>
  <si>
    <t>Payment Date</t>
  </si>
  <si>
    <t>Ref # ( Receipt and Invoice#)</t>
  </si>
  <si>
    <t>Narration</t>
  </si>
  <si>
    <t>Debit</t>
  </si>
  <si>
    <t>Credit</t>
  </si>
  <si>
    <t>Balance</t>
  </si>
  <si>
    <t xml:space="preserve">LHR-146062 </t>
  </si>
  <si>
    <t>Sales Invoice</t>
  </si>
  <si>
    <t xml:space="preserve">PAY-KuickPay-303798 </t>
  </si>
  <si>
    <t>PAYMENT / COLLECTION AGAINST BILLING BY KUICKPAY</t>
  </si>
  <si>
    <t>LHR-175946</t>
  </si>
  <si>
    <t>RECURRING INVOICE PERIOD Sep-2026</t>
  </si>
  <si>
    <t>Technical Compaint</t>
  </si>
  <si>
    <t xml:space="preserve">Ticket Type: </t>
  </si>
  <si>
    <t>Category</t>
  </si>
  <si>
    <t>Sub Category</t>
  </si>
  <si>
    <t>Fault</t>
  </si>
  <si>
    <t>Inverter</t>
  </si>
  <si>
    <t>Over Temp</t>
  </si>
  <si>
    <t>OverLoad</t>
  </si>
  <si>
    <t>Short Circuit</t>
  </si>
  <si>
    <t>Grid Over Voltage</t>
  </si>
  <si>
    <t>Grid Under Voltage</t>
  </si>
  <si>
    <t>Phase</t>
  </si>
  <si>
    <t>Billing Complaint</t>
  </si>
  <si>
    <t>Inverter Brands</t>
  </si>
  <si>
    <t>(01) BatVolLow</t>
  </si>
  <si>
    <t>Panel</t>
  </si>
  <si>
    <t>Service Request</t>
  </si>
  <si>
    <t>Panel Brands</t>
  </si>
  <si>
    <t>(02) BatOverCurrSw</t>
  </si>
  <si>
    <t>Battery</t>
  </si>
  <si>
    <t>Battery Brands</t>
  </si>
  <si>
    <t>Breaker</t>
  </si>
  <si>
    <t>Breaker Brands</t>
  </si>
  <si>
    <t xml:space="preserve">Source Of Complain </t>
  </si>
  <si>
    <t>UAN, Email, Whatsapp, Sales, Billing</t>
  </si>
  <si>
    <t>Escalation</t>
  </si>
  <si>
    <t>Level-1, Level-2, Level-3</t>
  </si>
  <si>
    <t>Wrong arrears, Invoice Not Received, Billing is not Updated, Billing Plan Change, Wrong Invoice Charged</t>
  </si>
  <si>
    <t>Assigned To</t>
  </si>
  <si>
    <t>Operation &amp; Maintenance, Billing, Sales, Customer Service, Support</t>
  </si>
  <si>
    <t xml:space="preserve">Complain Status </t>
  </si>
  <si>
    <t>Pending</t>
  </si>
  <si>
    <t>Complain Description</t>
  </si>
  <si>
    <t>First Call Resolution</t>
  </si>
  <si>
    <t>Yes, No</t>
  </si>
  <si>
    <t>Ticket Closed Set up</t>
  </si>
  <si>
    <t>Customer Code</t>
  </si>
  <si>
    <t>Internal Shifting, Package Change, Temp. Blocked, Termination, Restoration, Profile Change Request</t>
  </si>
  <si>
    <t>Customer Address</t>
  </si>
  <si>
    <t>Action</t>
  </si>
  <si>
    <t>High, Mediam, Low</t>
  </si>
  <si>
    <t>Department</t>
  </si>
  <si>
    <t>Pending, Resolved, Canceled, Onhold, Closed</t>
  </si>
  <si>
    <t>Remarks</t>
  </si>
  <si>
    <t>Submit</t>
  </si>
  <si>
    <t>Status</t>
  </si>
  <si>
    <t>CreatedBy</t>
  </si>
  <si>
    <t>CreatedAt</t>
  </si>
  <si>
    <t>Time in Department</t>
  </si>
  <si>
    <t>Closed</t>
  </si>
  <si>
    <t>Customer Service</t>
  </si>
  <si>
    <t>08 Aug, 2026 06:20:34 PM</t>
  </si>
  <si>
    <t>Resolved</t>
  </si>
  <si>
    <t>Operation &amp; Maintenance</t>
  </si>
  <si>
    <t>Support</t>
  </si>
  <si>
    <t>Complaint History</t>
  </si>
  <si>
    <t>Ticket Number</t>
  </si>
  <si>
    <t>DateTime</t>
  </si>
  <si>
    <t>Service/Category</t>
  </si>
  <si>
    <t>Complain</t>
  </si>
  <si>
    <t>Priorty</t>
  </si>
  <si>
    <t>By Last remarks Updated</t>
  </si>
  <si>
    <t>T-0222532</t>
  </si>
  <si>
    <t>05 Aug, 2026 08:16:21 PM</t>
  </si>
  <si>
    <t>☐</t>
  </si>
  <si>
    <t>Customer Details</t>
  </si>
  <si>
    <t>will be created by submit a form</t>
  </si>
  <si>
    <t>Aafaaq Ali Khan</t>
  </si>
  <si>
    <t>923004004982</t>
  </si>
  <si>
    <t xml:space="preserve">House # </t>
  </si>
  <si>
    <t>Block</t>
  </si>
  <si>
    <t>G</t>
  </si>
  <si>
    <t>Street #</t>
  </si>
  <si>
    <t>Sub Area</t>
  </si>
  <si>
    <t>Phase I</t>
  </si>
  <si>
    <t>Area</t>
  </si>
  <si>
    <t>State Life Housing Society</t>
  </si>
  <si>
    <t>City</t>
  </si>
  <si>
    <t>Lahore</t>
  </si>
  <si>
    <t>Drop down Aero</t>
  </si>
  <si>
    <t>Country</t>
  </si>
  <si>
    <t>Pakistan</t>
  </si>
  <si>
    <t>Email</t>
  </si>
  <si>
    <t>aafaaq.a.khan@gmail.com</t>
  </si>
  <si>
    <t>CRF Number</t>
  </si>
  <si>
    <t>Auto Generated</t>
  </si>
  <si>
    <t>35201-3270162-9</t>
  </si>
  <si>
    <t>CNIC Expiry</t>
  </si>
  <si>
    <t>22nd July 2030</t>
  </si>
  <si>
    <t>Upload CNIC Front</t>
  </si>
  <si>
    <t>Upload CNIC Back</t>
  </si>
  <si>
    <t>Sign Up Date</t>
  </si>
  <si>
    <t>____ / ____ / ______</t>
  </si>
  <si>
    <t>Activation Date</t>
  </si>
  <si>
    <t>☐ Residential</t>
  </si>
  <si>
    <t>☐ Corporate</t>
  </si>
  <si>
    <t>☐ Industrial</t>
  </si>
  <si>
    <t>System Type</t>
  </si>
  <si>
    <t>☐ 1–10 kW</t>
  </si>
  <si>
    <t>☐ 10–20 kW</t>
  </si>
  <si>
    <t>☐ 20–30 kW</t>
  </si>
  <si>
    <t>☐ 30 kW &amp; Above</t>
  </si>
  <si>
    <t>Drop Down Aero</t>
  </si>
  <si>
    <t>Package</t>
  </si>
  <si>
    <t>☐ Basic</t>
  </si>
  <si>
    <t>☐ Moderate</t>
  </si>
  <si>
    <t>☐ Comprehensive</t>
  </si>
  <si>
    <t>☐ Monthly</t>
  </si>
  <si>
    <t>☐ Quarterly</t>
  </si>
  <si>
    <t>☐ Half Yearly</t>
  </si>
  <si>
    <t>☐ Yearly</t>
  </si>
  <si>
    <t>☐ 12 Hours</t>
  </si>
  <si>
    <t>☐ 24 Hours</t>
  </si>
  <si>
    <t>Paid Amount:</t>
  </si>
  <si>
    <t>Solar System Details</t>
  </si>
  <si>
    <t>☐ Green Meter</t>
  </si>
  <si>
    <t>☐ Non Green</t>
  </si>
  <si>
    <t>☐ Installed</t>
  </si>
  <si>
    <t>☐ Not Installed</t>
  </si>
  <si>
    <t>DISCO</t>
  </si>
  <si>
    <t>LESCO</t>
  </si>
  <si>
    <t>__________________</t>
  </si>
  <si>
    <t>Knox</t>
  </si>
  <si>
    <t>Fronius</t>
  </si>
  <si>
    <t>Livoltek</t>
  </si>
  <si>
    <t>GoodWe</t>
  </si>
  <si>
    <t>Galaxy</t>
  </si>
  <si>
    <t>Solis</t>
  </si>
  <si>
    <t>CoreTech</t>
  </si>
  <si>
    <t>Inverex</t>
  </si>
  <si>
    <t>Ziewnic</t>
  </si>
  <si>
    <t>Itel</t>
  </si>
  <si>
    <t>Sunviour</t>
  </si>
  <si>
    <t>Yinergy</t>
  </si>
  <si>
    <t>Huawei</t>
  </si>
  <si>
    <t>SAJ</t>
  </si>
  <si>
    <t>Fox ESS</t>
  </si>
  <si>
    <t>Solplanet</t>
  </si>
  <si>
    <t>Solax Power</t>
  </si>
  <si>
    <t>Tesla</t>
  </si>
  <si>
    <t>Crown</t>
  </si>
  <si>
    <t>Growatt</t>
  </si>
  <si>
    <t>Deye</t>
  </si>
  <si>
    <t>Sungrow</t>
  </si>
  <si>
    <t>Sofar</t>
  </si>
  <si>
    <t>SMA</t>
  </si>
  <si>
    <t>SolarEdge</t>
  </si>
  <si>
    <t>KSTAR</t>
  </si>
  <si>
    <t>SolarMax</t>
  </si>
  <si>
    <t>SRNE</t>
  </si>
  <si>
    <t>Voltronic / Axpert</t>
  </si>
  <si>
    <t>Kodak</t>
  </si>
  <si>
    <t>Sineng</t>
  </si>
  <si>
    <t>FIMER</t>
  </si>
  <si>
    <t>Canadian Solar</t>
  </si>
  <si>
    <t>Apex</t>
  </si>
  <si>
    <t>Gripsun</t>
  </si>
  <si>
    <t>Anicsun</t>
  </si>
  <si>
    <t>Maxpower</t>
  </si>
  <si>
    <t>Auxsol</t>
  </si>
  <si>
    <t>Onyx</t>
  </si>
  <si>
    <t>Powerage</t>
  </si>
  <si>
    <t>Sunlife</t>
  </si>
  <si>
    <t>Other</t>
  </si>
  <si>
    <t>☐ Hybrid</t>
  </si>
  <si>
    <t>☐ On-grid</t>
  </si>
  <si>
    <t>☐ Hybrid + On-grid</t>
  </si>
  <si>
    <t>Inverter Phase Type</t>
  </si>
  <si>
    <t>☐ Single Phase</t>
  </si>
  <si>
    <t>☐ Three Phase</t>
  </si>
  <si>
    <t>No. of Inverters</t>
  </si>
  <si>
    <t>Inverter Category</t>
  </si>
  <si>
    <t>☐ High Voltage</t>
  </si>
  <si>
    <t>☐ Low Voltage</t>
  </si>
  <si>
    <t>Inverter Size</t>
  </si>
  <si>
    <t>6kW</t>
  </si>
  <si>
    <t>Meter Phase</t>
  </si>
  <si>
    <t>Panel Technology</t>
  </si>
  <si>
    <t>☐ TOPCON</t>
  </si>
  <si>
    <t>☐ ABC</t>
  </si>
  <si>
    <t>☐ HJT</t>
  </si>
  <si>
    <t>☐ HIBC</t>
  </si>
  <si>
    <t>☐ TBC</t>
  </si>
  <si>
    <t>☐ PERC</t>
  </si>
  <si>
    <t>☐ Other</t>
  </si>
  <si>
    <t>Panel Brand</t>
  </si>
  <si>
    <t>AIKO</t>
  </si>
  <si>
    <t>LONGi</t>
  </si>
  <si>
    <t>Risen</t>
  </si>
  <si>
    <t>Trina Solar</t>
  </si>
  <si>
    <t>Jinko</t>
  </si>
  <si>
    <t>Astronergy</t>
  </si>
  <si>
    <t>GCL</t>
  </si>
  <si>
    <t>Huasun</t>
  </si>
  <si>
    <t>DMEGC</t>
  </si>
  <si>
    <t>JA Solar</t>
  </si>
  <si>
    <t>Jolywood</t>
  </si>
  <si>
    <t>DASolar</t>
  </si>
  <si>
    <t>DAH Solar</t>
  </si>
  <si>
    <t>TW Solar</t>
  </si>
  <si>
    <t>Jetion Solar</t>
  </si>
  <si>
    <t>Grand Sunergy</t>
  </si>
  <si>
    <t>SPIC</t>
  </si>
  <si>
    <t>Solargiga</t>
  </si>
  <si>
    <t>REC Group</t>
  </si>
  <si>
    <t>Eging PV</t>
  </si>
  <si>
    <t>RUNERGY</t>
  </si>
  <si>
    <t>URECO</t>
  </si>
  <si>
    <t>Yingli</t>
  </si>
  <si>
    <t>Suntech</t>
  </si>
  <si>
    <t>Kalyon PV</t>
  </si>
  <si>
    <t>Qcells</t>
  </si>
  <si>
    <t>CECEP</t>
  </si>
  <si>
    <t>Jinergy</t>
  </si>
  <si>
    <t>Meyer Burger</t>
  </si>
  <si>
    <t>Qn-SOLAR</t>
  </si>
  <si>
    <t>Seraphim</t>
  </si>
  <si>
    <t>ZNSHINE</t>
  </si>
  <si>
    <t>OSDA</t>
  </si>
  <si>
    <t>Panel Wattage</t>
  </si>
  <si>
    <t>No of Panels</t>
  </si>
  <si>
    <t>Total Wattage</t>
  </si>
  <si>
    <t>Panel Wattage x No of Panels</t>
  </si>
  <si>
    <t>☐ Monofacial</t>
  </si>
  <si>
    <t>☐ Bifacial</t>
  </si>
  <si>
    <t>Battery Category</t>
  </si>
  <si>
    <t>☐ Lithium</t>
  </si>
  <si>
    <t>☐ Lead Acid</t>
  </si>
  <si>
    <t>☐ Dry</t>
  </si>
  <si>
    <t>Dyness</t>
  </si>
  <si>
    <t>Narada</t>
  </si>
  <si>
    <t>Pylontech</t>
  </si>
  <si>
    <t>Sunwoda</t>
  </si>
  <si>
    <t>Dongjin</t>
  </si>
  <si>
    <t>BYD</t>
  </si>
  <si>
    <t>Sacred Sun</t>
  </si>
  <si>
    <t>Genix Green</t>
  </si>
  <si>
    <t>SolaX</t>
  </si>
  <si>
    <t>Osaka</t>
  </si>
  <si>
    <t>Phoenix</t>
  </si>
  <si>
    <t>Apex Solar</t>
  </si>
  <si>
    <t>MaxPower</t>
  </si>
  <si>
    <t>No. of Batteries</t>
  </si>
  <si>
    <t>Earthing</t>
  </si>
  <si>
    <t>☐ AC</t>
  </si>
  <si>
    <t>☐ DC</t>
  </si>
  <si>
    <t>Date of Last Check</t>
  </si>
  <si>
    <t>OHMs</t>
  </si>
  <si>
    <t>Ingress Protection (IP)</t>
  </si>
  <si>
    <t>Structure Type</t>
  </si>
  <si>
    <t>☐ Elevated</t>
  </si>
  <si>
    <t>☐ Standard</t>
  </si>
  <si>
    <t xml:space="preserve">Painted </t>
  </si>
  <si>
    <t>Alumunium</t>
  </si>
  <si>
    <t>L1</t>
  </si>
  <si>
    <t>L2</t>
  </si>
  <si>
    <t>L3</t>
  </si>
  <si>
    <t>L4</t>
  </si>
  <si>
    <t>Hot Dip Galvanized</t>
  </si>
  <si>
    <t>Pre Galvanized</t>
  </si>
  <si>
    <t>Installer Details</t>
  </si>
  <si>
    <t>Date of Installation</t>
  </si>
  <si>
    <t>Name</t>
  </si>
  <si>
    <t>Usman Waheed</t>
  </si>
  <si>
    <t>Company</t>
  </si>
  <si>
    <t>EY Enterprise</t>
  </si>
  <si>
    <t>Address</t>
  </si>
  <si>
    <t>Contact No</t>
  </si>
  <si>
    <t>`923003655263</t>
  </si>
  <si>
    <t>Email Address</t>
  </si>
  <si>
    <t>usman.waheed@eyenterprise.com.pk</t>
  </si>
  <si>
    <t>Last Audit of System</t>
  </si>
  <si>
    <t>15th June 2022</t>
  </si>
  <si>
    <t>Inverter Status</t>
  </si>
  <si>
    <t>☐ Excellent</t>
  </si>
  <si>
    <t>☐ Good</t>
  </si>
  <si>
    <t>☐ Fair</t>
  </si>
  <si>
    <t>☐ Service Required</t>
  </si>
  <si>
    <t>☐ Replacement Required</t>
  </si>
  <si>
    <t>Panel Status</t>
  </si>
  <si>
    <t>Battery Status</t>
  </si>
  <si>
    <t>Structure Status</t>
  </si>
  <si>
    <t>Cable Status</t>
  </si>
  <si>
    <t>AC/DC Eaarthing Status</t>
  </si>
  <si>
    <t>Breakers Status</t>
  </si>
  <si>
    <t>Monitoring 12 Hours Package Plan</t>
  </si>
  <si>
    <t>Monitoring 24 Hours Package Plan</t>
  </si>
  <si>
    <t>Subscription</t>
  </si>
  <si>
    <t>Basic - Monthly</t>
  </si>
  <si>
    <t>Moderate - Monthly</t>
  </si>
  <si>
    <t>Comprehensive - Monthly</t>
  </si>
  <si>
    <t>System Size</t>
  </si>
  <si>
    <t>Price</t>
  </si>
  <si>
    <t>Sales Tax</t>
  </si>
  <si>
    <t>Total</t>
  </si>
  <si>
    <t>20% Discount on Quarterly payment</t>
  </si>
  <si>
    <t>Basic - Quarterly</t>
  </si>
  <si>
    <t>Moderate - Quarterly</t>
  </si>
  <si>
    <t>Comprehensive - Quaterly</t>
  </si>
  <si>
    <t>Basic - 12/hrs Quarterly</t>
  </si>
  <si>
    <t>Moderate - 12/hrs Quarterly</t>
  </si>
  <si>
    <t>Comprehensive - 12/hrs Quaterly</t>
  </si>
  <si>
    <t>40% Discount on Half Yearly payment</t>
  </si>
  <si>
    <t>Basic - Half Yearly</t>
  </si>
  <si>
    <t>Moderate - Half Yearly</t>
  </si>
  <si>
    <t>Comprehensive - Half Yearly</t>
  </si>
  <si>
    <t>60% Discount on Yearly payment</t>
  </si>
  <si>
    <t>Basic - Yearly</t>
  </si>
  <si>
    <t>Moderate - Yearly</t>
  </si>
  <si>
    <t>Comprehensive - Yearly</t>
  </si>
  <si>
    <t>System Intallation Date</t>
  </si>
  <si>
    <t>☐ 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</si>
</sst>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B7B7B7"/>
      </right>
      <top style="medium">
        <color indexed="64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medium">
        <color indexed="64"/>
      </right>
      <top style="medium">
        <color indexed="64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medium">
        <color indexed="64"/>
      </right>
      <top/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1" fillId="0" borderId="0"/>
  </cellStyleXfs>
  <cellXfs count="115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6" fillId="0" borderId="0" xfId="0" applyFont="1" applyAlignment="1">
      <alignment vertical="center"/>
    </xf>
    <xf numFmtId="0" fontId="2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/>
    <xf numFmtId="165" fontId="0" fillId="3" borderId="1" xfId="1" applyNumberFormat="1" applyFont="1" applyFill="1" applyBorder="1" applyAlignment="1">
      <alignment vertical="center"/>
    </xf>
    <xf numFmtId="165" fontId="0" fillId="3" borderId="1" xfId="0" applyNumberFormat="1" applyFill="1" applyBorder="1"/>
    <xf numFmtId="0" fontId="0" fillId="3" borderId="1" xfId="0" applyFill="1" applyBorder="1" applyAlignment="1">
      <alignment wrapText="1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6" xfId="0" applyFont="1" applyBorder="1"/>
    <xf numFmtId="0" fontId="0" fillId="0" borderId="7" xfId="0" applyBorder="1"/>
    <xf numFmtId="0" fontId="0" fillId="0" borderId="6" xfId="0" applyBorder="1"/>
    <xf numFmtId="0" fontId="0" fillId="0" borderId="1" xfId="0" applyBorder="1"/>
    <xf numFmtId="0" fontId="7" fillId="0" borderId="0" xfId="0" applyFont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11" xfId="0" applyFont="1" applyBorder="1"/>
    <xf numFmtId="0" fontId="2" fillId="0" borderId="2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3" xfId="0" applyFont="1" applyBorder="1"/>
    <xf numFmtId="0" fontId="0" fillId="0" borderId="4" xfId="0" applyBorder="1"/>
    <xf numFmtId="0" fontId="2" fillId="0" borderId="4" xfId="0" applyFont="1" applyBorder="1"/>
    <xf numFmtId="0" fontId="0" fillId="0" borderId="5" xfId="0" applyBorder="1"/>
    <xf numFmtId="0" fontId="2" fillId="3" borderId="6" xfId="0" applyFont="1" applyFill="1" applyBorder="1"/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2" fillId="0" borderId="18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1" xfId="2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0" fillId="4" borderId="20" xfId="0" applyFill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4" borderId="21" xfId="0" applyFill="1" applyBorder="1" applyAlignment="1">
      <alignment vertical="center" wrapText="1"/>
    </xf>
    <xf numFmtId="0" fontId="0" fillId="4" borderId="22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3" borderId="20" xfId="0" applyFont="1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vertical="center" wrapText="1"/>
    </xf>
    <xf numFmtId="0" fontId="0" fillId="4" borderId="27" xfId="0" applyFill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9" fillId="3" borderId="6" xfId="0" applyFont="1" applyFill="1" applyBorder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1" fillId="0" borderId="0" xfId="0" applyFont="1"/>
    <xf numFmtId="0" fontId="11" fillId="0" borderId="7" xfId="0" applyFon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right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15" fontId="0" fillId="0" borderId="0" xfId="0" applyNumberFormat="1" applyAlignment="1">
      <alignment horizontal="left"/>
    </xf>
    <xf numFmtId="0" fontId="8" fillId="0" borderId="0" xfId="2"/>
    <xf numFmtId="0" fontId="12" fillId="5" borderId="28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13" fillId="6" borderId="23" xfId="0" applyFont="1" applyFill="1" applyBorder="1" applyAlignment="1">
      <alignment horizontal="center" vertical="center" wrapText="1"/>
    </xf>
    <xf numFmtId="0" fontId="13" fillId="6" borderId="28" xfId="0" applyFont="1" applyFill="1" applyBorder="1" applyAlignment="1">
      <alignment horizontal="center" vertical="center" wrapText="1"/>
    </xf>
    <xf numFmtId="0" fontId="13" fillId="6" borderId="29" xfId="0" applyFont="1" applyFill="1" applyBorder="1" applyAlignment="1">
      <alignment horizontal="center" vertical="center" wrapText="1"/>
    </xf>
    <xf numFmtId="0" fontId="13" fillId="7" borderId="30" xfId="0" applyFont="1" applyFill="1" applyBorder="1" applyAlignment="1">
      <alignment horizontal="center" vertical="center" wrapText="1"/>
    </xf>
    <xf numFmtId="0" fontId="13" fillId="7" borderId="31" xfId="0" applyFont="1" applyFill="1" applyBorder="1" applyAlignment="1">
      <alignment horizontal="center" vertical="center" wrapText="1"/>
    </xf>
    <xf numFmtId="0" fontId="13" fillId="7" borderId="32" xfId="0" applyFont="1" applyFill="1" applyBorder="1" applyAlignment="1">
      <alignment horizontal="center" vertical="center" wrapText="1"/>
    </xf>
    <xf numFmtId="0" fontId="13" fillId="7" borderId="33" xfId="0" applyFont="1" applyFill="1" applyBorder="1" applyAlignment="1">
      <alignment horizontal="center" vertical="center" wrapText="1"/>
    </xf>
    <xf numFmtId="0" fontId="13" fillId="7" borderId="34" xfId="0" applyFont="1" applyFill="1" applyBorder="1" applyAlignment="1">
      <alignment horizontal="center" vertical="center" wrapText="1"/>
    </xf>
    <xf numFmtId="0" fontId="13" fillId="7" borderId="35" xfId="0" applyFont="1" applyFill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3" fontId="14" fillId="0" borderId="37" xfId="3" applyNumberFormat="1" applyFont="1" applyBorder="1" applyAlignment="1">
      <alignment horizontal="center" vertical="center" wrapText="1"/>
    </xf>
    <xf numFmtId="3" fontId="14" fillId="0" borderId="38" xfId="3" applyNumberFormat="1" applyFont="1" applyBorder="1" applyAlignment="1">
      <alignment horizontal="center" vertical="center" wrapText="1"/>
    </xf>
    <xf numFmtId="3" fontId="15" fillId="0" borderId="37" xfId="3" applyNumberFormat="1" applyFont="1" applyBorder="1" applyAlignment="1">
      <alignment horizontal="center" vertical="center" wrapText="1"/>
    </xf>
    <xf numFmtId="3" fontId="15" fillId="0" borderId="38" xfId="3" applyNumberFormat="1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3" fontId="14" fillId="0" borderId="40" xfId="3" applyNumberFormat="1" applyFont="1" applyBorder="1" applyAlignment="1">
      <alignment horizontal="center" vertical="center" wrapText="1"/>
    </xf>
    <xf numFmtId="3" fontId="14" fillId="0" borderId="41" xfId="3" applyNumberFormat="1" applyFont="1" applyBorder="1" applyAlignment="1">
      <alignment horizontal="center" vertical="center" wrapText="1"/>
    </xf>
    <xf numFmtId="3" fontId="15" fillId="0" borderId="40" xfId="3" applyNumberFormat="1" applyFont="1" applyBorder="1" applyAlignment="1">
      <alignment horizontal="center" vertical="center" wrapText="1"/>
    </xf>
    <xf numFmtId="3" fontId="15" fillId="0" borderId="41" xfId="3" applyNumberFormat="1" applyFont="1" applyBorder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2" fillId="0" borderId="8" xfId="0" applyFont="1" applyBorder="1"/>
  </cellXfs>
  <cellStyles count="4">
    <cellStyle name="Comma" xfId="1" builtinId="3"/>
    <cellStyle name="Comma 2 2" xfId="3" xr:uid="{27423641-A0C4-4AEC-8E7F-47053B74E47D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24</xdr:row>
      <xdr:rowOff>19049</xdr:rowOff>
    </xdr:from>
    <xdr:to>
      <xdr:col>5</xdr:col>
      <xdr:colOff>4744</xdr:colOff>
      <xdr:row>33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D6DC0-61F8-4165-90D7-197C61AEB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4362449"/>
          <a:ext cx="7653318" cy="18383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190500</xdr:colOff>
      <xdr:row>1</xdr:row>
      <xdr:rowOff>313451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3450D8-14D2-CBCC-65CD-7CD27E84A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05575" cy="770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1</xdr:row>
      <xdr:rowOff>114300</xdr:rowOff>
    </xdr:from>
    <xdr:to>
      <xdr:col>8</xdr:col>
      <xdr:colOff>1162050</xdr:colOff>
      <xdr:row>3</xdr:row>
      <xdr:rowOff>146457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940C53-1FEC-940D-41B3-057BF5B19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581025"/>
          <a:ext cx="5095875" cy="603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sman.waheed@eyenterprise.com.pk" TargetMode="External"/><Relationship Id="rId1" Type="http://schemas.openxmlformats.org/officeDocument/2006/relationships/hyperlink" Target="mailto:aafaaq.a.khan@gmail.com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2503-B250-4DB4-8C0A-1C25F4A3681C}">
  <dimension ref="A1:Q114"/>
  <sheetViews>
    <sheetView workbookViewId="0">
      <selection activeCell="B14" sqref="B14"/>
    </sheetView>
  </sheetViews>
  <sheetFormatPr defaultRowHeight="15" x14ac:dyDescent="0.25"/>
  <cols>
    <col min="1" max="1" width="4.140625" customWidth="1"/>
    <col min="2" max="2" width="21.85546875" customWidth="1"/>
    <col min="3" max="3" width="46" bestFit="1" customWidth="1"/>
    <col min="4" max="4" width="22.7109375" bestFit="1" customWidth="1"/>
    <col min="5" max="5" width="20" bestFit="1" customWidth="1"/>
    <col min="6" max="6" width="20.140625" bestFit="1" customWidth="1"/>
    <col min="7" max="7" width="18.140625" bestFit="1" customWidth="1"/>
  </cols>
  <sheetData>
    <row r="1" spans="1:2" ht="36" x14ac:dyDescent="0.55000000000000004">
      <c r="B1" s="1" t="s">
        <v>0</v>
      </c>
    </row>
    <row r="2" spans="1:2" ht="31.5" x14ac:dyDescent="0.25">
      <c r="A2" s="2" t="s">
        <v>1</v>
      </c>
    </row>
    <row r="3" spans="1:2" ht="23.25" x14ac:dyDescent="0.25">
      <c r="A3" s="3" t="s">
        <v>2</v>
      </c>
    </row>
    <row r="4" spans="1:2" ht="23.25" x14ac:dyDescent="0.25">
      <c r="A4" s="3" t="s">
        <v>3</v>
      </c>
    </row>
    <row r="5" spans="1:2" x14ac:dyDescent="0.25">
      <c r="A5" t="str">
        <f>_xlfn.UNICHAR(ROW()-3+9311)</f>
        <v>②</v>
      </c>
      <c r="B5" s="4" t="s">
        <v>4</v>
      </c>
    </row>
    <row r="6" spans="1:2" x14ac:dyDescent="0.25">
      <c r="A6" t="str">
        <f>_xlfn.UNICHAR(ROW()-3+9311)</f>
        <v>③</v>
      </c>
      <c r="B6" s="4" t="s">
        <v>5</v>
      </c>
    </row>
    <row r="7" spans="1:2" x14ac:dyDescent="0.25">
      <c r="A7" t="str">
        <f>_xlfn.UNICHAR(ROW()-3+9311)</f>
        <v>④</v>
      </c>
      <c r="B7" s="4" t="s">
        <v>6</v>
      </c>
    </row>
    <row r="8" spans="1:2" x14ac:dyDescent="0.25">
      <c r="B8" s="4" t="s">
        <v>7</v>
      </c>
    </row>
    <row r="9" spans="1:2" x14ac:dyDescent="0.25">
      <c r="B9" s="4" t="s">
        <v>8</v>
      </c>
    </row>
    <row r="10" spans="1:2" x14ac:dyDescent="0.25">
      <c r="B10" s="4" t="s">
        <v>9</v>
      </c>
    </row>
    <row r="11" spans="1:2" x14ac:dyDescent="0.25">
      <c r="A11" t="str">
        <f>_xlfn.UNICHAR(ROW()-3-3+9311)</f>
        <v>⑤</v>
      </c>
      <c r="B11" s="4" t="s">
        <v>10</v>
      </c>
    </row>
    <row r="12" spans="1:2" x14ac:dyDescent="0.25">
      <c r="A12" t="str">
        <f>_xlfn.UNICHAR(ROW()-3-3+9311)</f>
        <v>⑥</v>
      </c>
      <c r="B12" s="4" t="s">
        <v>11</v>
      </c>
    </row>
    <row r="13" spans="1:2" x14ac:dyDescent="0.25">
      <c r="B13" s="4" t="s">
        <v>12</v>
      </c>
    </row>
    <row r="14" spans="1:2" x14ac:dyDescent="0.25">
      <c r="B14" s="4"/>
    </row>
    <row r="15" spans="1:2" x14ac:dyDescent="0.25">
      <c r="B15" s="4"/>
    </row>
    <row r="16" spans="1:2" x14ac:dyDescent="0.25">
      <c r="B16" s="4"/>
    </row>
    <row r="17" spans="1:2" x14ac:dyDescent="0.25">
      <c r="B17" s="4"/>
    </row>
    <row r="18" spans="1:2" x14ac:dyDescent="0.25">
      <c r="B18" s="4"/>
    </row>
    <row r="19" spans="1:2" x14ac:dyDescent="0.25">
      <c r="B19" t="s">
        <v>13</v>
      </c>
    </row>
    <row r="20" spans="1:2" x14ac:dyDescent="0.25">
      <c r="B20" s="4" t="s">
        <v>14</v>
      </c>
    </row>
    <row r="21" spans="1:2" x14ac:dyDescent="0.25">
      <c r="B21" s="4" t="s">
        <v>15</v>
      </c>
    </row>
    <row r="22" spans="1:2" x14ac:dyDescent="0.25">
      <c r="B22" s="4" t="s">
        <v>16</v>
      </c>
    </row>
    <row r="23" spans="1:2" ht="18" x14ac:dyDescent="0.25">
      <c r="A23" s="5" t="s">
        <v>17</v>
      </c>
    </row>
    <row r="24" spans="1:2" x14ac:dyDescent="0.25">
      <c r="A24" t="str">
        <f>_xlfn.UNICHAR(ROW()-11+9311)</f>
        <v>⑬</v>
      </c>
      <c r="B24" s="4" t="s">
        <v>18</v>
      </c>
    </row>
    <row r="35" spans="1:9" x14ac:dyDescent="0.25">
      <c r="A35" t="str">
        <f>_xlfn.UNICHAR(ROW()-11-10+9311)</f>
        <v>⑭</v>
      </c>
      <c r="B35" s="4" t="s">
        <v>19</v>
      </c>
    </row>
    <row r="36" spans="1:9" x14ac:dyDescent="0.25">
      <c r="B36" s="6" t="s">
        <v>20</v>
      </c>
      <c r="C36" s="6" t="s">
        <v>21</v>
      </c>
      <c r="D36" s="6" t="s">
        <v>22</v>
      </c>
      <c r="E36" s="6" t="s">
        <v>23</v>
      </c>
      <c r="F36" s="6" t="s">
        <v>24</v>
      </c>
      <c r="G36" s="7"/>
      <c r="H36" s="7"/>
      <c r="I36" s="7"/>
    </row>
    <row r="37" spans="1:9" x14ac:dyDescent="0.25">
      <c r="B37" s="8" t="s">
        <v>25</v>
      </c>
      <c r="C37" s="9"/>
      <c r="D37" s="9"/>
      <c r="E37" s="9"/>
      <c r="F37" s="9"/>
      <c r="G37" s="9"/>
      <c r="H37" s="9"/>
      <c r="I37" s="9"/>
    </row>
    <row r="38" spans="1:9" x14ac:dyDescent="0.25">
      <c r="B38" s="8" t="s">
        <v>26</v>
      </c>
      <c r="C38" s="9"/>
      <c r="D38" s="9"/>
      <c r="E38" s="9"/>
      <c r="F38" s="9"/>
      <c r="G38" s="9"/>
      <c r="H38" s="9"/>
      <c r="I38" s="9"/>
    </row>
    <row r="39" spans="1:9" x14ac:dyDescent="0.25">
      <c r="B39" s="8" t="s">
        <v>27</v>
      </c>
      <c r="C39" s="9"/>
      <c r="D39" s="9"/>
      <c r="E39" s="9"/>
      <c r="F39" s="9"/>
      <c r="G39" s="9"/>
      <c r="H39" s="9"/>
      <c r="I39" s="9"/>
    </row>
    <row r="40" spans="1:9" x14ac:dyDescent="0.25">
      <c r="B40" s="8" t="s">
        <v>28</v>
      </c>
      <c r="C40" s="9"/>
      <c r="D40" s="9"/>
      <c r="E40" s="9"/>
      <c r="F40" s="9"/>
      <c r="G40" s="9"/>
      <c r="H40" s="9"/>
      <c r="I40" s="9"/>
    </row>
    <row r="41" spans="1:9" x14ac:dyDescent="0.25">
      <c r="B41" s="8" t="s">
        <v>29</v>
      </c>
      <c r="C41" s="9"/>
      <c r="D41" s="9"/>
      <c r="E41" s="9"/>
      <c r="F41" s="9"/>
      <c r="G41" s="9"/>
      <c r="H41" s="9"/>
      <c r="I41" s="9"/>
    </row>
    <row r="42" spans="1:9" x14ac:dyDescent="0.25">
      <c r="B42" s="8" t="s">
        <v>30</v>
      </c>
      <c r="C42" s="9" t="s">
        <v>31</v>
      </c>
      <c r="D42" s="9" t="s">
        <v>32</v>
      </c>
      <c r="E42" s="9" t="s">
        <v>33</v>
      </c>
      <c r="F42" s="9"/>
      <c r="G42" s="9"/>
      <c r="H42" s="9"/>
      <c r="I42" s="9"/>
    </row>
    <row r="43" spans="1:9" x14ac:dyDescent="0.25">
      <c r="B43" s="8" t="s">
        <v>34</v>
      </c>
      <c r="C43" s="9" t="s">
        <v>35</v>
      </c>
      <c r="D43" s="9" t="s">
        <v>36</v>
      </c>
      <c r="E43" s="9" t="s">
        <v>37</v>
      </c>
      <c r="F43" s="9"/>
      <c r="G43" s="9"/>
      <c r="H43" s="9"/>
      <c r="I43" s="9"/>
    </row>
    <row r="44" spans="1:9" x14ac:dyDescent="0.25">
      <c r="B44" s="8" t="s">
        <v>38</v>
      </c>
      <c r="C44" s="9"/>
      <c r="D44" s="9"/>
      <c r="E44" s="9"/>
      <c r="F44" s="9"/>
      <c r="G44" s="9"/>
      <c r="H44" s="9"/>
      <c r="I44" s="9"/>
    </row>
    <row r="45" spans="1:9" x14ac:dyDescent="0.25">
      <c r="B45" s="8" t="s">
        <v>39</v>
      </c>
      <c r="C45" s="9"/>
      <c r="D45" s="9"/>
      <c r="E45" s="9"/>
      <c r="F45" s="9"/>
      <c r="G45" s="9"/>
      <c r="H45" s="9"/>
      <c r="I45" s="9"/>
    </row>
    <row r="46" spans="1:9" x14ac:dyDescent="0.25">
      <c r="B46" s="8" t="s">
        <v>40</v>
      </c>
      <c r="C46" s="9"/>
      <c r="D46" s="9"/>
      <c r="E46" s="9"/>
      <c r="F46" s="9"/>
      <c r="G46" s="9"/>
      <c r="H46" s="9"/>
      <c r="I46" s="9"/>
    </row>
    <row r="47" spans="1:9" x14ac:dyDescent="0.25">
      <c r="B47" s="8" t="s">
        <v>41</v>
      </c>
      <c r="C47" s="9"/>
      <c r="D47" s="9"/>
      <c r="E47" s="9"/>
      <c r="F47" s="9"/>
      <c r="G47" s="9"/>
      <c r="H47" s="9"/>
      <c r="I47" s="9"/>
    </row>
    <row r="48" spans="1:9" x14ac:dyDescent="0.25">
      <c r="B48" s="10" t="s">
        <v>21</v>
      </c>
      <c r="C48" s="10"/>
      <c r="D48" s="10"/>
      <c r="E48" s="10"/>
      <c r="F48" s="10"/>
      <c r="G48" s="10"/>
      <c r="H48" s="10"/>
      <c r="I48" s="10"/>
    </row>
    <row r="49" spans="2:9" x14ac:dyDescent="0.25">
      <c r="B49" s="7" t="s">
        <v>42</v>
      </c>
      <c r="C49" s="7" t="s">
        <v>43</v>
      </c>
      <c r="D49" s="9" t="s">
        <v>44</v>
      </c>
      <c r="E49" s="9" t="s">
        <v>45</v>
      </c>
      <c r="F49" s="9" t="s">
        <v>46</v>
      </c>
      <c r="G49" s="9"/>
      <c r="H49" s="9"/>
      <c r="I49" s="9"/>
    </row>
    <row r="50" spans="2:9" x14ac:dyDescent="0.25">
      <c r="B50" s="6" t="s">
        <v>47</v>
      </c>
      <c r="C50" s="7" t="s">
        <v>48</v>
      </c>
      <c r="D50" s="9" t="s">
        <v>49</v>
      </c>
      <c r="E50" s="9" t="s">
        <v>50</v>
      </c>
      <c r="F50" s="9"/>
      <c r="G50" s="9"/>
      <c r="H50" s="9"/>
      <c r="I50" s="9"/>
    </row>
    <row r="51" spans="2:9" x14ac:dyDescent="0.25">
      <c r="B51" s="6" t="s">
        <v>51</v>
      </c>
      <c r="C51" s="7" t="s">
        <v>52</v>
      </c>
      <c r="D51" s="9" t="s">
        <v>53</v>
      </c>
      <c r="E51" s="9" t="s">
        <v>54</v>
      </c>
      <c r="F51" s="9" t="s">
        <v>55</v>
      </c>
      <c r="G51" s="9"/>
      <c r="H51" s="9"/>
      <c r="I51" s="9"/>
    </row>
    <row r="52" spans="2:9" x14ac:dyDescent="0.25">
      <c r="B52" s="6" t="s">
        <v>56</v>
      </c>
      <c r="C52" s="7" t="s">
        <v>57</v>
      </c>
      <c r="D52" s="9" t="s">
        <v>58</v>
      </c>
      <c r="E52" s="9"/>
      <c r="F52" s="9"/>
      <c r="G52" s="9"/>
      <c r="H52" s="9"/>
      <c r="I52" s="9"/>
    </row>
    <row r="53" spans="2:9" x14ac:dyDescent="0.25">
      <c r="B53" s="6" t="s">
        <v>59</v>
      </c>
      <c r="C53" s="7" t="s">
        <v>60</v>
      </c>
      <c r="D53" s="9"/>
      <c r="E53" s="9"/>
      <c r="F53" s="9"/>
      <c r="G53" s="9"/>
      <c r="H53" s="9"/>
      <c r="I53" s="9"/>
    </row>
    <row r="54" spans="2:9" x14ac:dyDescent="0.25">
      <c r="B54" s="8" t="s">
        <v>61</v>
      </c>
      <c r="C54" s="9" t="s">
        <v>62</v>
      </c>
      <c r="D54" s="9" t="s">
        <v>63</v>
      </c>
      <c r="E54" s="9"/>
      <c r="F54" s="9"/>
      <c r="G54" s="9"/>
      <c r="H54" s="9"/>
      <c r="I54" s="9"/>
    </row>
    <row r="55" spans="2:9" x14ac:dyDescent="0.25">
      <c r="B55" s="8" t="s">
        <v>64</v>
      </c>
      <c r="C55" s="9" t="s">
        <v>65</v>
      </c>
      <c r="D55" s="9" t="s">
        <v>66</v>
      </c>
      <c r="E55" s="9"/>
      <c r="F55" s="9"/>
      <c r="G55" s="9"/>
      <c r="H55" s="9"/>
      <c r="I55" s="9"/>
    </row>
    <row r="56" spans="2:9" x14ac:dyDescent="0.25">
      <c r="B56" s="8" t="s">
        <v>67</v>
      </c>
      <c r="C56" s="9"/>
      <c r="D56" s="9"/>
      <c r="E56" s="9"/>
      <c r="F56" s="9"/>
      <c r="G56" s="9"/>
      <c r="H56" s="9"/>
      <c r="I56" s="9"/>
    </row>
    <row r="57" spans="2:9" x14ac:dyDescent="0.25">
      <c r="B57" s="8" t="s">
        <v>68</v>
      </c>
      <c r="C57" s="9" t="s">
        <v>69</v>
      </c>
      <c r="D57" s="9" t="s">
        <v>70</v>
      </c>
      <c r="E57" s="9" t="s">
        <v>71</v>
      </c>
      <c r="F57" s="9"/>
      <c r="G57" s="9"/>
      <c r="H57" s="9"/>
      <c r="I57" s="9"/>
    </row>
    <row r="58" spans="2:9" x14ac:dyDescent="0.25">
      <c r="B58" s="8" t="s">
        <v>72</v>
      </c>
      <c r="C58" s="9"/>
      <c r="D58" s="9"/>
      <c r="E58" s="9"/>
      <c r="F58" s="9"/>
      <c r="G58" s="9"/>
      <c r="H58" s="9"/>
      <c r="I58" s="9"/>
    </row>
    <row r="59" spans="2:9" x14ac:dyDescent="0.25">
      <c r="B59" s="8" t="s">
        <v>73</v>
      </c>
      <c r="C59" s="9"/>
      <c r="D59" s="9"/>
      <c r="E59" s="9"/>
      <c r="F59" s="9"/>
      <c r="G59" s="9"/>
      <c r="H59" s="9"/>
      <c r="I59" s="9"/>
    </row>
    <row r="60" spans="2:9" x14ac:dyDescent="0.25">
      <c r="B60" s="8" t="s">
        <v>74</v>
      </c>
      <c r="C60" s="9"/>
      <c r="D60" s="9"/>
      <c r="E60" s="9"/>
      <c r="F60" s="9"/>
      <c r="G60" s="9"/>
      <c r="H60" s="9"/>
      <c r="I60" s="9"/>
    </row>
    <row r="61" spans="2:9" x14ac:dyDescent="0.25">
      <c r="B61" s="8" t="s">
        <v>75</v>
      </c>
      <c r="C61" s="9" t="s">
        <v>76</v>
      </c>
      <c r="D61" s="9" t="s">
        <v>77</v>
      </c>
      <c r="E61" s="9" t="s">
        <v>78</v>
      </c>
      <c r="F61" s="9"/>
      <c r="G61" s="9"/>
      <c r="H61" s="9"/>
      <c r="I61" s="9"/>
    </row>
    <row r="62" spans="2:9" x14ac:dyDescent="0.25">
      <c r="B62" s="8" t="s">
        <v>79</v>
      </c>
      <c r="C62" s="9"/>
      <c r="D62" s="9"/>
      <c r="E62" s="9"/>
      <c r="F62" s="9"/>
      <c r="G62" s="9"/>
      <c r="H62" s="9"/>
      <c r="I62" s="9"/>
    </row>
    <row r="63" spans="2:9" x14ac:dyDescent="0.25">
      <c r="B63" s="8" t="s">
        <v>80</v>
      </c>
      <c r="C63" s="9"/>
      <c r="D63" s="9"/>
      <c r="E63" s="9"/>
      <c r="F63" s="9"/>
      <c r="G63" s="9"/>
      <c r="H63" s="9"/>
      <c r="I63" s="9"/>
    </row>
    <row r="64" spans="2:9" x14ac:dyDescent="0.25">
      <c r="B64" s="11" t="s">
        <v>21</v>
      </c>
      <c r="C64" s="11"/>
      <c r="D64" s="11"/>
      <c r="E64" s="11"/>
      <c r="F64" s="11"/>
      <c r="G64" s="11"/>
      <c r="H64" s="11"/>
      <c r="I64" s="11"/>
    </row>
    <row r="65" spans="2:9" x14ac:dyDescent="0.25">
      <c r="B65" s="9" t="s">
        <v>42</v>
      </c>
      <c r="C65" s="9" t="s">
        <v>43</v>
      </c>
      <c r="D65" s="9" t="s">
        <v>44</v>
      </c>
      <c r="E65" s="9" t="s">
        <v>45</v>
      </c>
      <c r="F65" s="9" t="s">
        <v>46</v>
      </c>
      <c r="G65" s="9"/>
      <c r="H65" s="9"/>
      <c r="I65" s="9"/>
    </row>
    <row r="66" spans="2:9" x14ac:dyDescent="0.25">
      <c r="B66" s="8" t="s">
        <v>47</v>
      </c>
      <c r="C66" s="9" t="s">
        <v>48</v>
      </c>
      <c r="D66" s="9" t="s">
        <v>49</v>
      </c>
      <c r="E66" s="9" t="s">
        <v>50</v>
      </c>
      <c r="F66" s="9"/>
      <c r="G66" s="9"/>
      <c r="H66" s="9"/>
      <c r="I66" s="9"/>
    </row>
    <row r="67" spans="2:9" x14ac:dyDescent="0.25">
      <c r="B67" s="8" t="s">
        <v>51</v>
      </c>
      <c r="C67" s="9" t="s">
        <v>52</v>
      </c>
      <c r="D67" s="9" t="s">
        <v>53</v>
      </c>
      <c r="E67" s="9" t="s">
        <v>54</v>
      </c>
      <c r="F67" s="9" t="s">
        <v>55</v>
      </c>
      <c r="G67" s="9"/>
      <c r="H67" s="9"/>
      <c r="I67" s="9"/>
    </row>
    <row r="68" spans="2:9" x14ac:dyDescent="0.25">
      <c r="B68" s="8" t="s">
        <v>56</v>
      </c>
      <c r="C68" s="9" t="s">
        <v>57</v>
      </c>
      <c r="D68" s="9" t="s">
        <v>58</v>
      </c>
      <c r="E68" s="9"/>
      <c r="F68" s="9"/>
      <c r="G68" s="9"/>
      <c r="H68" s="9"/>
      <c r="I68" s="9"/>
    </row>
    <row r="69" spans="2:9" x14ac:dyDescent="0.25">
      <c r="B69" s="8" t="s">
        <v>59</v>
      </c>
      <c r="C69" s="9" t="s">
        <v>60</v>
      </c>
      <c r="D69" s="9"/>
      <c r="E69" s="9"/>
      <c r="F69" s="9"/>
      <c r="G69" s="9"/>
      <c r="H69" s="9"/>
      <c r="I69" s="9"/>
    </row>
    <row r="70" spans="2:9" x14ac:dyDescent="0.25">
      <c r="B70" s="8" t="s">
        <v>61</v>
      </c>
      <c r="C70" s="9" t="s">
        <v>62</v>
      </c>
      <c r="D70" s="9" t="s">
        <v>63</v>
      </c>
      <c r="E70" s="9"/>
      <c r="F70" s="9"/>
      <c r="G70" s="9"/>
      <c r="H70" s="9"/>
      <c r="I70" s="9"/>
    </row>
    <row r="71" spans="2:9" x14ac:dyDescent="0.25">
      <c r="B71" s="8" t="s">
        <v>64</v>
      </c>
      <c r="C71" s="9" t="s">
        <v>65</v>
      </c>
      <c r="D71" s="9" t="s">
        <v>66</v>
      </c>
      <c r="E71" s="9"/>
      <c r="F71" s="9"/>
      <c r="G71" s="9"/>
      <c r="H71" s="9"/>
      <c r="I71" s="9"/>
    </row>
    <row r="72" spans="2:9" x14ac:dyDescent="0.25">
      <c r="B72" s="8" t="s">
        <v>67</v>
      </c>
      <c r="C72" s="9"/>
      <c r="D72" s="9"/>
      <c r="E72" s="9"/>
      <c r="F72" s="9"/>
      <c r="G72" s="9"/>
      <c r="H72" s="9"/>
      <c r="I72" s="9"/>
    </row>
    <row r="73" spans="2:9" x14ac:dyDescent="0.25">
      <c r="B73" s="8" t="s">
        <v>68</v>
      </c>
      <c r="C73" s="9" t="s">
        <v>69</v>
      </c>
      <c r="D73" s="9" t="s">
        <v>70</v>
      </c>
      <c r="E73" s="9" t="s">
        <v>71</v>
      </c>
      <c r="F73" s="9"/>
      <c r="G73" s="9"/>
      <c r="H73" s="9"/>
      <c r="I73" s="9"/>
    </row>
    <row r="74" spans="2:9" x14ac:dyDescent="0.25">
      <c r="B74" s="8" t="s">
        <v>72</v>
      </c>
      <c r="C74" s="9"/>
      <c r="D74" s="9"/>
      <c r="E74" s="9"/>
      <c r="F74" s="9"/>
      <c r="G74" s="9"/>
      <c r="H74" s="9"/>
      <c r="I74" s="9"/>
    </row>
    <row r="75" spans="2:9" x14ac:dyDescent="0.25">
      <c r="B75" s="8" t="s">
        <v>73</v>
      </c>
      <c r="C75" s="9"/>
      <c r="D75" s="9"/>
      <c r="E75" s="9"/>
      <c r="F75" s="9"/>
      <c r="G75" s="9"/>
      <c r="H75" s="9"/>
      <c r="I75" s="9"/>
    </row>
    <row r="76" spans="2:9" x14ac:dyDescent="0.25">
      <c r="B76" s="8" t="s">
        <v>74</v>
      </c>
      <c r="C76" s="9"/>
      <c r="D76" s="9"/>
      <c r="E76" s="9"/>
      <c r="F76" s="9"/>
      <c r="G76" s="9"/>
      <c r="H76" s="9"/>
      <c r="I76" s="9"/>
    </row>
    <row r="77" spans="2:9" x14ac:dyDescent="0.25">
      <c r="B77" s="8" t="s">
        <v>75</v>
      </c>
      <c r="C77" s="9" t="s">
        <v>76</v>
      </c>
      <c r="D77" s="9" t="s">
        <v>77</v>
      </c>
      <c r="E77" s="9" t="s">
        <v>78</v>
      </c>
      <c r="F77" s="9"/>
      <c r="G77" s="9"/>
      <c r="H77" s="9"/>
      <c r="I77" s="9"/>
    </row>
    <row r="78" spans="2:9" x14ac:dyDescent="0.25">
      <c r="B78" s="8" t="s">
        <v>79</v>
      </c>
      <c r="C78" s="9"/>
      <c r="D78" s="9"/>
      <c r="E78" s="9"/>
      <c r="F78" s="9"/>
      <c r="G78" s="9"/>
      <c r="H78" s="9"/>
      <c r="I78" s="9"/>
    </row>
    <row r="79" spans="2:9" x14ac:dyDescent="0.25">
      <c r="B79" s="8" t="s">
        <v>80</v>
      </c>
      <c r="C79" s="9"/>
      <c r="D79" s="9"/>
      <c r="E79" s="9"/>
      <c r="F79" s="9"/>
      <c r="G79" s="9"/>
      <c r="H79" s="9"/>
      <c r="I79" s="9"/>
    </row>
    <row r="80" spans="2:9" x14ac:dyDescent="0.25">
      <c r="B80" s="12" t="s">
        <v>22</v>
      </c>
      <c r="C80" s="12"/>
      <c r="D80" s="12"/>
      <c r="E80" s="12"/>
      <c r="F80" s="12"/>
      <c r="G80" s="12"/>
      <c r="H80" s="12"/>
      <c r="I80" s="12"/>
    </row>
    <row r="81" spans="2:17" x14ac:dyDescent="0.25">
      <c r="B81" s="13" t="s">
        <v>81</v>
      </c>
      <c r="C81" s="13" t="s">
        <v>82</v>
      </c>
      <c r="D81" s="13" t="s">
        <v>83</v>
      </c>
      <c r="E81" s="13" t="s">
        <v>84</v>
      </c>
      <c r="F81" s="13" t="s">
        <v>85</v>
      </c>
      <c r="G81" s="13" t="s">
        <v>86</v>
      </c>
    </row>
    <row r="82" spans="2:17" x14ac:dyDescent="0.25">
      <c r="B82" s="14">
        <v>46244</v>
      </c>
      <c r="C82" s="9" t="s">
        <v>87</v>
      </c>
      <c r="D82" s="9" t="s">
        <v>88</v>
      </c>
      <c r="E82" s="15">
        <v>1000</v>
      </c>
      <c r="F82" s="9">
        <v>0</v>
      </c>
      <c r="G82" s="16">
        <f>E82+F82</f>
        <v>1000</v>
      </c>
    </row>
    <row r="83" spans="2:17" ht="45" x14ac:dyDescent="0.25">
      <c r="B83" s="14">
        <v>46246</v>
      </c>
      <c r="C83" s="9" t="s">
        <v>89</v>
      </c>
      <c r="D83" s="17" t="s">
        <v>90</v>
      </c>
      <c r="E83" s="9">
        <v>0</v>
      </c>
      <c r="F83" s="9">
        <v>1000</v>
      </c>
      <c r="G83" s="16">
        <f>E83+G82-F83</f>
        <v>0</v>
      </c>
    </row>
    <row r="84" spans="2:17" ht="30.75" thickBot="1" x14ac:dyDescent="0.3">
      <c r="B84" s="18">
        <v>46266</v>
      </c>
      <c r="C84" t="s">
        <v>91</v>
      </c>
      <c r="D84" s="19" t="s">
        <v>92</v>
      </c>
      <c r="E84">
        <v>1000</v>
      </c>
      <c r="F84">
        <v>0</v>
      </c>
      <c r="G84" s="20">
        <f>E84+G83-F84</f>
        <v>1000</v>
      </c>
    </row>
    <row r="85" spans="2:17" x14ac:dyDescent="0.25">
      <c r="B85" s="21" t="s">
        <v>23</v>
      </c>
      <c r="C85" s="22"/>
      <c r="D85" s="22"/>
      <c r="E85" s="22"/>
      <c r="F85" s="22"/>
      <c r="G85" s="22"/>
      <c r="H85" s="22"/>
      <c r="I85" s="23"/>
      <c r="J85" s="4" t="s">
        <v>93</v>
      </c>
    </row>
    <row r="86" spans="2:17" x14ac:dyDescent="0.25">
      <c r="B86" s="24" t="s">
        <v>94</v>
      </c>
      <c r="C86" t="s">
        <v>93</v>
      </c>
      <c r="D86" s="4" t="s">
        <v>95</v>
      </c>
      <c r="F86" s="4" t="s">
        <v>96</v>
      </c>
      <c r="H86" s="4" t="s">
        <v>97</v>
      </c>
      <c r="I86" s="25"/>
      <c r="J86" s="4" t="s">
        <v>95</v>
      </c>
      <c r="K86" s="8" t="s">
        <v>98</v>
      </c>
      <c r="L86" t="s">
        <v>99</v>
      </c>
      <c r="M86" t="s">
        <v>100</v>
      </c>
      <c r="N86" t="s">
        <v>101</v>
      </c>
      <c r="O86" t="s">
        <v>102</v>
      </c>
      <c r="P86" t="s">
        <v>103</v>
      </c>
      <c r="Q86" t="s">
        <v>104</v>
      </c>
    </row>
    <row r="87" spans="2:17" x14ac:dyDescent="0.25">
      <c r="B87" s="26"/>
      <c r="C87" t="s">
        <v>105</v>
      </c>
      <c r="D87" t="s">
        <v>98</v>
      </c>
      <c r="F87" t="s">
        <v>106</v>
      </c>
      <c r="H87" t="s">
        <v>107</v>
      </c>
      <c r="I87" s="25"/>
      <c r="K87" s="8" t="s">
        <v>108</v>
      </c>
    </row>
    <row r="88" spans="2:17" x14ac:dyDescent="0.25">
      <c r="B88" s="26"/>
      <c r="C88" t="s">
        <v>109</v>
      </c>
      <c r="D88" t="s">
        <v>108</v>
      </c>
      <c r="F88" t="s">
        <v>110</v>
      </c>
      <c r="H88" t="s">
        <v>111</v>
      </c>
      <c r="I88" s="25"/>
      <c r="K88" s="8" t="s">
        <v>112</v>
      </c>
    </row>
    <row r="89" spans="2:17" x14ac:dyDescent="0.25">
      <c r="B89" s="26"/>
      <c r="D89" t="s">
        <v>112</v>
      </c>
      <c r="F89" t="s">
        <v>113</v>
      </c>
      <c r="I89" s="25"/>
      <c r="K89" s="8" t="s">
        <v>114</v>
      </c>
    </row>
    <row r="90" spans="2:17" x14ac:dyDescent="0.25">
      <c r="B90" s="26"/>
      <c r="D90" t="s">
        <v>114</v>
      </c>
      <c r="F90" t="s">
        <v>115</v>
      </c>
      <c r="I90" s="25"/>
    </row>
    <row r="91" spans="2:17" x14ac:dyDescent="0.25">
      <c r="B91" s="26"/>
      <c r="I91" s="25"/>
      <c r="J91" s="4" t="s">
        <v>105</v>
      </c>
    </row>
    <row r="92" spans="2:17" x14ac:dyDescent="0.25">
      <c r="B92" s="24" t="s">
        <v>116</v>
      </c>
      <c r="C92" t="s">
        <v>117</v>
      </c>
      <c r="D92" s="4" t="s">
        <v>118</v>
      </c>
      <c r="E92" t="s">
        <v>119</v>
      </c>
      <c r="I92" s="25"/>
      <c r="J92" s="4" t="s">
        <v>95</v>
      </c>
      <c r="K92" t="s">
        <v>120</v>
      </c>
    </row>
    <row r="93" spans="2:17" x14ac:dyDescent="0.25">
      <c r="B93" s="26"/>
      <c r="I93" s="25"/>
    </row>
    <row r="94" spans="2:17" ht="30" x14ac:dyDescent="0.25">
      <c r="B94" s="24" t="s">
        <v>121</v>
      </c>
      <c r="C94" s="19" t="s">
        <v>122</v>
      </c>
      <c r="D94" s="4" t="s">
        <v>123</v>
      </c>
      <c r="E94" t="s">
        <v>124</v>
      </c>
      <c r="I94" s="25"/>
    </row>
    <row r="95" spans="2:17" x14ac:dyDescent="0.25">
      <c r="B95" s="24" t="s">
        <v>125</v>
      </c>
      <c r="C95" s="27"/>
      <c r="D95" s="28" t="s">
        <v>126</v>
      </c>
      <c r="E95" t="s">
        <v>127</v>
      </c>
      <c r="I95" s="25"/>
    </row>
    <row r="96" spans="2:17" ht="15.75" thickBot="1" x14ac:dyDescent="0.3">
      <c r="B96" s="29"/>
      <c r="C96" s="30"/>
      <c r="D96" s="30"/>
      <c r="E96" s="30"/>
      <c r="F96" s="30"/>
      <c r="G96" s="30"/>
      <c r="H96" s="30"/>
      <c r="I96" s="31"/>
    </row>
    <row r="97" spans="2:11" x14ac:dyDescent="0.25">
      <c r="B97" s="21" t="s">
        <v>128</v>
      </c>
      <c r="C97" s="22"/>
      <c r="D97" s="22"/>
      <c r="E97" s="22"/>
      <c r="F97" s="22"/>
      <c r="G97" s="22"/>
      <c r="H97" s="22"/>
      <c r="I97" s="23"/>
      <c r="J97" s="4" t="s">
        <v>109</v>
      </c>
    </row>
    <row r="98" spans="2:11" x14ac:dyDescent="0.25">
      <c r="B98" s="32" t="s">
        <v>129</v>
      </c>
      <c r="C98" s="33"/>
      <c r="D98" s="33" t="s">
        <v>27</v>
      </c>
      <c r="E98" s="33"/>
      <c r="F98" s="33"/>
      <c r="G98" s="33"/>
      <c r="H98" s="33"/>
      <c r="I98" s="34"/>
      <c r="J98" s="4" t="s">
        <v>95</v>
      </c>
      <c r="K98" t="s">
        <v>130</v>
      </c>
    </row>
    <row r="99" spans="2:11" ht="15.75" thickBot="1" x14ac:dyDescent="0.3">
      <c r="B99" s="35" t="s">
        <v>131</v>
      </c>
      <c r="C99" s="4"/>
      <c r="D99" s="4" t="s">
        <v>29</v>
      </c>
      <c r="E99" s="4"/>
      <c r="F99" s="4"/>
      <c r="G99" s="4"/>
      <c r="H99" s="4"/>
      <c r="I99" s="36"/>
    </row>
    <row r="100" spans="2:11" x14ac:dyDescent="0.25">
      <c r="B100" s="37" t="s">
        <v>132</v>
      </c>
      <c r="C100" s="38" t="s">
        <v>133</v>
      </c>
      <c r="D100" s="39" t="s">
        <v>134</v>
      </c>
      <c r="E100" s="38" t="s">
        <v>122</v>
      </c>
      <c r="F100" s="38"/>
      <c r="G100" s="38"/>
      <c r="H100" s="38"/>
      <c r="I100" s="40"/>
    </row>
    <row r="101" spans="2:11" x14ac:dyDescent="0.25">
      <c r="B101" s="24" t="s">
        <v>123</v>
      </c>
      <c r="C101" t="s">
        <v>135</v>
      </c>
      <c r="D101" s="4"/>
      <c r="I101" s="25"/>
    </row>
    <row r="102" spans="2:11" x14ac:dyDescent="0.25">
      <c r="B102" s="26" t="s">
        <v>136</v>
      </c>
      <c r="C102" s="27"/>
      <c r="I102" s="25"/>
    </row>
    <row r="103" spans="2:11" x14ac:dyDescent="0.25">
      <c r="B103" s="41" t="s">
        <v>137</v>
      </c>
      <c r="I103" s="25"/>
    </row>
    <row r="104" spans="2:11" x14ac:dyDescent="0.25">
      <c r="B104" s="26"/>
      <c r="I104" s="25"/>
    </row>
    <row r="105" spans="2:11" ht="30" x14ac:dyDescent="0.25">
      <c r="B105" s="42" t="s">
        <v>138</v>
      </c>
      <c r="C105" s="43" t="s">
        <v>134</v>
      </c>
      <c r="D105" s="43" t="s">
        <v>136</v>
      </c>
      <c r="E105" s="43" t="s">
        <v>139</v>
      </c>
      <c r="F105" s="43" t="s">
        <v>140</v>
      </c>
      <c r="G105" s="43" t="s">
        <v>141</v>
      </c>
      <c r="I105" s="25"/>
    </row>
    <row r="106" spans="2:11" x14ac:dyDescent="0.25">
      <c r="B106" s="26" t="s">
        <v>142</v>
      </c>
      <c r="C106" t="s">
        <v>143</v>
      </c>
      <c r="F106" t="s">
        <v>144</v>
      </c>
      <c r="I106" s="25"/>
    </row>
    <row r="107" spans="2:11" x14ac:dyDescent="0.25">
      <c r="B107" s="26" t="s">
        <v>145</v>
      </c>
      <c r="C107" t="s">
        <v>146</v>
      </c>
      <c r="I107" s="25"/>
    </row>
    <row r="108" spans="2:11" ht="15.75" thickBot="1" x14ac:dyDescent="0.3">
      <c r="B108" s="29" t="s">
        <v>124</v>
      </c>
      <c r="C108" s="30" t="s">
        <v>147</v>
      </c>
      <c r="D108" s="30"/>
      <c r="E108" s="30"/>
      <c r="F108" s="30"/>
      <c r="G108" s="30"/>
      <c r="H108" s="30"/>
      <c r="I108" s="31"/>
    </row>
    <row r="109" spans="2:11" x14ac:dyDescent="0.25">
      <c r="B109" s="21" t="s">
        <v>148</v>
      </c>
      <c r="C109" s="22"/>
      <c r="D109" s="22"/>
      <c r="E109" s="22"/>
      <c r="F109" s="22"/>
      <c r="G109" s="22"/>
      <c r="H109" s="22"/>
      <c r="I109" s="23"/>
    </row>
    <row r="110" spans="2:11" ht="15.75" thickBot="1" x14ac:dyDescent="0.3">
      <c r="B110" s="44" t="s">
        <v>134</v>
      </c>
      <c r="C110" s="44" t="s">
        <v>149</v>
      </c>
      <c r="D110" s="44" t="s">
        <v>150</v>
      </c>
      <c r="E110" s="44" t="s">
        <v>151</v>
      </c>
      <c r="F110" s="44" t="s">
        <v>152</v>
      </c>
      <c r="G110" s="44" t="s">
        <v>118</v>
      </c>
      <c r="H110" s="44" t="s">
        <v>153</v>
      </c>
      <c r="I110" s="44" t="s">
        <v>138</v>
      </c>
      <c r="J110" s="44" t="s">
        <v>132</v>
      </c>
    </row>
    <row r="111" spans="2:11" ht="120" x14ac:dyDescent="0.25">
      <c r="B111" t="s">
        <v>154</v>
      </c>
      <c r="C111" t="s">
        <v>155</v>
      </c>
      <c r="D111" t="s">
        <v>156</v>
      </c>
      <c r="E111" t="s">
        <v>98</v>
      </c>
      <c r="F111" s="19" t="s">
        <v>117</v>
      </c>
      <c r="G111" s="19" t="s">
        <v>119</v>
      </c>
      <c r="H111" s="45" t="s">
        <v>133</v>
      </c>
      <c r="I111" s="19" t="s">
        <v>135</v>
      </c>
      <c r="J111" s="46" t="s">
        <v>157</v>
      </c>
    </row>
    <row r="112" spans="2:11" x14ac:dyDescent="0.25">
      <c r="E112" t="s">
        <v>108</v>
      </c>
    </row>
    <row r="113" spans="5:5" x14ac:dyDescent="0.25">
      <c r="E113" t="s">
        <v>112</v>
      </c>
    </row>
    <row r="114" spans="5:5" x14ac:dyDescent="0.25">
      <c r="E114" t="s">
        <v>114</v>
      </c>
    </row>
  </sheetData>
  <mergeCells count="6">
    <mergeCell ref="B48:I48"/>
    <mergeCell ref="B64:I64"/>
    <mergeCell ref="B80:I80"/>
    <mergeCell ref="B85:I85"/>
    <mergeCell ref="B97:I97"/>
    <mergeCell ref="B109:I10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9FE2-167C-44A0-8A70-CCE90768D570}">
  <dimension ref="A1:AV67"/>
  <sheetViews>
    <sheetView showGridLines="0" tabSelected="1" zoomScaleNormal="100" workbookViewId="0">
      <selection activeCell="G8" sqref="G8"/>
    </sheetView>
  </sheetViews>
  <sheetFormatPr defaultRowHeight="15" x14ac:dyDescent="0.25"/>
  <cols>
    <col min="1" max="1" width="21.7109375" bestFit="1" customWidth="1"/>
    <col min="2" max="2" width="23.140625" customWidth="1"/>
    <col min="3" max="3" width="19.140625" customWidth="1"/>
    <col min="4" max="4" width="21.42578125" customWidth="1"/>
    <col min="5" max="5" width="15.140625" bestFit="1" customWidth="1"/>
    <col min="6" max="6" width="21.140625" customWidth="1"/>
    <col min="7" max="7" width="17.85546875" customWidth="1"/>
    <col min="8" max="8" width="21.7109375" customWidth="1"/>
    <col min="9" max="9" width="19.7109375" customWidth="1"/>
    <col min="10" max="10" width="29.28515625" customWidth="1"/>
  </cols>
  <sheetData>
    <row r="1" spans="1:6" ht="36.75" thickBot="1" x14ac:dyDescent="0.6">
      <c r="A1" s="1" t="s">
        <v>0</v>
      </c>
    </row>
    <row r="2" spans="1:6" x14ac:dyDescent="0.25">
      <c r="A2" s="47" t="s">
        <v>158</v>
      </c>
      <c r="B2" s="48"/>
      <c r="C2" s="48"/>
      <c r="D2" s="48"/>
      <c r="E2" s="49"/>
    </row>
    <row r="3" spans="1:6" ht="30" x14ac:dyDescent="0.25">
      <c r="A3" s="50" t="s">
        <v>26</v>
      </c>
      <c r="B3" s="51" t="s">
        <v>159</v>
      </c>
      <c r="C3" s="52" t="s">
        <v>27</v>
      </c>
      <c r="D3" s="51" t="s">
        <v>160</v>
      </c>
      <c r="E3" s="25"/>
    </row>
    <row r="4" spans="1:6" x14ac:dyDescent="0.25">
      <c r="A4" s="50" t="s">
        <v>29</v>
      </c>
      <c r="B4" s="53" t="s">
        <v>161</v>
      </c>
      <c r="C4" s="52" t="s">
        <v>34</v>
      </c>
      <c r="D4" s="51" t="s">
        <v>35</v>
      </c>
      <c r="E4" s="25"/>
    </row>
    <row r="5" spans="1:6" x14ac:dyDescent="0.25">
      <c r="A5" s="50" t="s">
        <v>162</v>
      </c>
      <c r="B5" s="51">
        <v>401</v>
      </c>
      <c r="C5" s="52" t="s">
        <v>163</v>
      </c>
      <c r="D5" s="51" t="s">
        <v>164</v>
      </c>
      <c r="E5" s="25"/>
    </row>
    <row r="6" spans="1:6" x14ac:dyDescent="0.25">
      <c r="A6" s="50" t="s">
        <v>165</v>
      </c>
      <c r="B6" s="51">
        <v>9</v>
      </c>
      <c r="C6" s="52" t="s">
        <v>166</v>
      </c>
      <c r="D6" s="51" t="s">
        <v>167</v>
      </c>
      <c r="E6" s="25"/>
    </row>
    <row r="7" spans="1:6" ht="30" x14ac:dyDescent="0.25">
      <c r="A7" s="54" t="s">
        <v>168</v>
      </c>
      <c r="B7" s="51" t="s">
        <v>169</v>
      </c>
      <c r="C7" s="55" t="s">
        <v>170</v>
      </c>
      <c r="D7" s="51" t="s">
        <v>171</v>
      </c>
      <c r="E7" s="52" t="s">
        <v>172</v>
      </c>
    </row>
    <row r="8" spans="1:6" x14ac:dyDescent="0.25">
      <c r="A8" s="50" t="s">
        <v>173</v>
      </c>
      <c r="B8" s="51" t="s">
        <v>174</v>
      </c>
      <c r="C8" s="52" t="s">
        <v>172</v>
      </c>
      <c r="D8" s="51"/>
      <c r="E8" s="25"/>
    </row>
    <row r="9" spans="1:6" ht="30" x14ac:dyDescent="0.25">
      <c r="A9" s="50" t="s">
        <v>175</v>
      </c>
      <c r="B9" s="56" t="s">
        <v>176</v>
      </c>
      <c r="C9" s="52" t="s">
        <v>177</v>
      </c>
      <c r="D9" s="51" t="s">
        <v>178</v>
      </c>
      <c r="E9" s="25"/>
    </row>
    <row r="10" spans="1:6" x14ac:dyDescent="0.25">
      <c r="A10" s="50" t="s">
        <v>41</v>
      </c>
      <c r="B10" s="51" t="s">
        <v>179</v>
      </c>
      <c r="C10" s="52" t="s">
        <v>180</v>
      </c>
      <c r="D10" s="51" t="s">
        <v>181</v>
      </c>
      <c r="E10" s="25"/>
    </row>
    <row r="11" spans="1:6" x14ac:dyDescent="0.25">
      <c r="A11" s="50" t="s">
        <v>182</v>
      </c>
      <c r="B11" s="51"/>
      <c r="C11" s="52" t="s">
        <v>183</v>
      </c>
      <c r="D11" s="51"/>
      <c r="E11" s="25"/>
    </row>
    <row r="12" spans="1:6" x14ac:dyDescent="0.25">
      <c r="A12" s="50" t="s">
        <v>184</v>
      </c>
      <c r="B12" s="51" t="s">
        <v>185</v>
      </c>
      <c r="C12" s="52" t="s">
        <v>186</v>
      </c>
      <c r="D12" s="51" t="s">
        <v>185</v>
      </c>
      <c r="E12" s="25"/>
    </row>
    <row r="13" spans="1:6" ht="15.75" thickBot="1" x14ac:dyDescent="0.3">
      <c r="A13" s="57" t="s">
        <v>30</v>
      </c>
      <c r="B13" s="58" t="s">
        <v>187</v>
      </c>
      <c r="C13" s="59" t="s">
        <v>188</v>
      </c>
      <c r="D13" s="59" t="s">
        <v>189</v>
      </c>
      <c r="E13" s="31"/>
    </row>
    <row r="14" spans="1:6" x14ac:dyDescent="0.25">
      <c r="A14" s="60" t="s">
        <v>21</v>
      </c>
      <c r="B14" s="61"/>
      <c r="C14" s="61"/>
      <c r="D14" s="61"/>
      <c r="E14" s="62"/>
    </row>
    <row r="15" spans="1:6" ht="30" x14ac:dyDescent="0.25">
      <c r="A15" s="50" t="s">
        <v>190</v>
      </c>
      <c r="B15" s="51" t="s">
        <v>191</v>
      </c>
      <c r="C15" s="63" t="s">
        <v>192</v>
      </c>
      <c r="D15" s="51" t="s">
        <v>193</v>
      </c>
      <c r="E15" s="64" t="s">
        <v>194</v>
      </c>
      <c r="F15" s="65" t="s">
        <v>195</v>
      </c>
    </row>
    <row r="16" spans="1:6" x14ac:dyDescent="0.25">
      <c r="A16" s="50" t="s">
        <v>196</v>
      </c>
      <c r="B16" s="51" t="s">
        <v>197</v>
      </c>
      <c r="C16" s="51" t="s">
        <v>198</v>
      </c>
      <c r="D16" s="63" t="s">
        <v>199</v>
      </c>
      <c r="E16" s="64"/>
      <c r="F16" s="65" t="s">
        <v>195</v>
      </c>
    </row>
    <row r="17" spans="1:48" x14ac:dyDescent="0.25">
      <c r="A17" s="50" t="s">
        <v>51</v>
      </c>
      <c r="B17" s="51" t="s">
        <v>200</v>
      </c>
      <c r="C17" s="51" t="s">
        <v>201</v>
      </c>
      <c r="D17" s="51" t="s">
        <v>202</v>
      </c>
      <c r="E17" s="66" t="s">
        <v>203</v>
      </c>
      <c r="F17" s="65" t="s">
        <v>195</v>
      </c>
    </row>
    <row r="18" spans="1:48" x14ac:dyDescent="0.25">
      <c r="A18" s="50" t="s">
        <v>56</v>
      </c>
      <c r="B18" s="51" t="s">
        <v>204</v>
      </c>
      <c r="C18" s="67" t="s">
        <v>205</v>
      </c>
      <c r="D18" s="68"/>
      <c r="E18" s="69"/>
      <c r="F18" s="65" t="s">
        <v>195</v>
      </c>
    </row>
    <row r="19" spans="1:48" ht="30" customHeight="1" thickBot="1" x14ac:dyDescent="0.3">
      <c r="A19" s="57"/>
      <c r="B19" s="59"/>
      <c r="C19" s="70" t="s">
        <v>206</v>
      </c>
      <c r="D19" s="59"/>
      <c r="E19" s="71"/>
      <c r="F19" s="65"/>
    </row>
    <row r="20" spans="1:48" ht="15.75" thickBot="1" x14ac:dyDescent="0.3">
      <c r="A20" s="72" t="s">
        <v>207</v>
      </c>
      <c r="B20" s="73"/>
      <c r="C20" s="73"/>
      <c r="D20" s="73"/>
      <c r="E20" s="74"/>
      <c r="F20" s="65"/>
    </row>
    <row r="21" spans="1:48" x14ac:dyDescent="0.25">
      <c r="A21" s="75" t="s">
        <v>61</v>
      </c>
      <c r="B21" s="76" t="s">
        <v>208</v>
      </c>
      <c r="C21" s="77" t="s">
        <v>209</v>
      </c>
      <c r="D21" s="68"/>
      <c r="E21" s="69"/>
      <c r="F21" s="65" t="s">
        <v>195</v>
      </c>
    </row>
    <row r="22" spans="1:48" x14ac:dyDescent="0.25">
      <c r="A22" s="50" t="s">
        <v>64</v>
      </c>
      <c r="B22" s="51" t="s">
        <v>210</v>
      </c>
      <c r="C22" s="63" t="s">
        <v>211</v>
      </c>
      <c r="D22" s="68"/>
      <c r="E22" s="69"/>
      <c r="F22" s="65" t="s">
        <v>195</v>
      </c>
    </row>
    <row r="23" spans="1:48" x14ac:dyDescent="0.25">
      <c r="A23" s="78" t="s">
        <v>212</v>
      </c>
      <c r="B23" s="79" t="s">
        <v>213</v>
      </c>
      <c r="C23" s="68"/>
      <c r="D23" s="68"/>
      <c r="E23" s="69"/>
      <c r="F23" s="65" t="s">
        <v>195</v>
      </c>
    </row>
    <row r="24" spans="1:48" x14ac:dyDescent="0.25">
      <c r="B24" s="80" t="s">
        <v>26</v>
      </c>
      <c r="C24" s="68"/>
      <c r="D24" s="68"/>
      <c r="E24" s="69"/>
      <c r="F24" s="65"/>
    </row>
    <row r="25" spans="1:48" x14ac:dyDescent="0.25">
      <c r="A25" s="80" t="s">
        <v>67</v>
      </c>
      <c r="B25" s="68" t="s">
        <v>214</v>
      </c>
      <c r="C25" s="68"/>
      <c r="D25" s="68"/>
      <c r="E25" s="69"/>
      <c r="F25" s="65" t="s">
        <v>195</v>
      </c>
      <c r="G25" t="s">
        <v>215</v>
      </c>
      <c r="H25" t="s">
        <v>216</v>
      </c>
      <c r="I25" t="s">
        <v>217</v>
      </c>
      <c r="J25" t="s">
        <v>218</v>
      </c>
      <c r="K25" t="s">
        <v>219</v>
      </c>
      <c r="L25" t="s">
        <v>220</v>
      </c>
      <c r="M25" t="s">
        <v>221</v>
      </c>
      <c r="N25" t="s">
        <v>222</v>
      </c>
      <c r="O25" t="s">
        <v>223</v>
      </c>
      <c r="P25" t="s">
        <v>224</v>
      </c>
      <c r="Q25" t="s">
        <v>225</v>
      </c>
      <c r="R25" t="s">
        <v>226</v>
      </c>
      <c r="S25" t="s">
        <v>227</v>
      </c>
      <c r="T25" t="s">
        <v>228</v>
      </c>
      <c r="U25" t="s">
        <v>229</v>
      </c>
      <c r="V25" t="s">
        <v>230</v>
      </c>
      <c r="W25" t="s">
        <v>231</v>
      </c>
      <c r="X25" t="s">
        <v>232</v>
      </c>
      <c r="Y25" t="s">
        <v>233</v>
      </c>
      <c r="Z25" t="s">
        <v>234</v>
      </c>
      <c r="AA25" t="s">
        <v>235</v>
      </c>
      <c r="AB25" t="s">
        <v>236</v>
      </c>
      <c r="AC25" t="s">
        <v>237</v>
      </c>
      <c r="AD25" t="s">
        <v>238</v>
      </c>
      <c r="AE25" t="s">
        <v>239</v>
      </c>
      <c r="AF25" t="s">
        <v>240</v>
      </c>
      <c r="AG25" t="s">
        <v>241</v>
      </c>
      <c r="AH25" t="s">
        <v>242</v>
      </c>
      <c r="AI25" t="s">
        <v>243</v>
      </c>
      <c r="AJ25" t="s">
        <v>244</v>
      </c>
      <c r="AK25" t="s">
        <v>245</v>
      </c>
      <c r="AL25" t="s">
        <v>246</v>
      </c>
      <c r="AM25" t="s">
        <v>247</v>
      </c>
      <c r="AN25" t="s">
        <v>248</v>
      </c>
      <c r="AO25" t="s">
        <v>249</v>
      </c>
      <c r="AP25" t="s">
        <v>250</v>
      </c>
      <c r="AQ25" t="s">
        <v>251</v>
      </c>
      <c r="AR25" t="s">
        <v>252</v>
      </c>
      <c r="AS25" t="s">
        <v>253</v>
      </c>
      <c r="AT25" t="s">
        <v>254</v>
      </c>
      <c r="AU25" t="s">
        <v>255</v>
      </c>
      <c r="AV25" t="s">
        <v>256</v>
      </c>
    </row>
    <row r="26" spans="1:48" x14ac:dyDescent="0.25">
      <c r="A26" s="50" t="s">
        <v>68</v>
      </c>
      <c r="B26" s="51" t="s">
        <v>257</v>
      </c>
      <c r="C26" s="51" t="s">
        <v>258</v>
      </c>
      <c r="D26" s="51" t="s">
        <v>259</v>
      </c>
      <c r="E26" s="69"/>
      <c r="F26" s="65" t="s">
        <v>195</v>
      </c>
    </row>
    <row r="27" spans="1:48" x14ac:dyDescent="0.25">
      <c r="A27" s="50" t="s">
        <v>260</v>
      </c>
      <c r="B27" s="51" t="s">
        <v>261</v>
      </c>
      <c r="C27" s="51" t="s">
        <v>262</v>
      </c>
      <c r="D27" s="68"/>
      <c r="E27" s="69"/>
      <c r="F27" s="65"/>
    </row>
    <row r="28" spans="1:48" x14ac:dyDescent="0.25">
      <c r="A28" s="80" t="s">
        <v>263</v>
      </c>
      <c r="B28" s="68" t="s">
        <v>214</v>
      </c>
      <c r="C28" s="68"/>
      <c r="D28" s="68"/>
      <c r="E28" s="69"/>
      <c r="F28" s="65" t="s">
        <v>195</v>
      </c>
    </row>
    <row r="29" spans="1:48" ht="30" x14ac:dyDescent="0.25">
      <c r="A29" s="80" t="s">
        <v>73</v>
      </c>
      <c r="B29" s="68" t="s">
        <v>214</v>
      </c>
      <c r="C29" s="68" t="s">
        <v>214</v>
      </c>
      <c r="D29" s="68" t="s">
        <v>214</v>
      </c>
      <c r="E29" s="69"/>
    </row>
    <row r="30" spans="1:48" x14ac:dyDescent="0.25">
      <c r="A30" s="80" t="s">
        <v>264</v>
      </c>
      <c r="B30" s="51" t="s">
        <v>265</v>
      </c>
      <c r="C30" s="51" t="s">
        <v>266</v>
      </c>
      <c r="E30" s="25"/>
      <c r="F30" s="65" t="s">
        <v>195</v>
      </c>
    </row>
    <row r="31" spans="1:48" x14ac:dyDescent="0.25">
      <c r="A31" s="80" t="s">
        <v>267</v>
      </c>
      <c r="B31" s="51" t="s">
        <v>268</v>
      </c>
      <c r="C31" s="51"/>
      <c r="E31" s="25"/>
      <c r="F31" s="65"/>
    </row>
    <row r="32" spans="1:48" x14ac:dyDescent="0.25">
      <c r="A32" s="80" t="s">
        <v>269</v>
      </c>
      <c r="B32" s="51" t="s">
        <v>261</v>
      </c>
      <c r="C32" s="51" t="s">
        <v>262</v>
      </c>
      <c r="E32" s="25"/>
      <c r="F32" s="65"/>
    </row>
    <row r="33" spans="1:44" x14ac:dyDescent="0.25">
      <c r="A33" s="80" t="s">
        <v>270</v>
      </c>
      <c r="B33" s="51" t="s">
        <v>271</v>
      </c>
      <c r="C33" s="51" t="s">
        <v>272</v>
      </c>
      <c r="D33" s="51" t="s">
        <v>273</v>
      </c>
      <c r="E33" s="64" t="s">
        <v>274</v>
      </c>
      <c r="F33" s="65" t="s">
        <v>195</v>
      </c>
    </row>
    <row r="34" spans="1:44" x14ac:dyDescent="0.25">
      <c r="A34" s="80"/>
      <c r="B34" s="51" t="s">
        <v>275</v>
      </c>
      <c r="C34" s="51" t="s">
        <v>276</v>
      </c>
      <c r="D34" s="51" t="s">
        <v>277</v>
      </c>
      <c r="E34" s="64"/>
      <c r="F34" s="65"/>
    </row>
    <row r="35" spans="1:44" x14ac:dyDescent="0.25">
      <c r="A35" s="80" t="s">
        <v>278</v>
      </c>
      <c r="B35" s="68"/>
      <c r="C35" s="81" t="s">
        <v>279</v>
      </c>
      <c r="D35" s="81" t="s">
        <v>280</v>
      </c>
      <c r="E35" s="82" t="s">
        <v>281</v>
      </c>
      <c r="F35" s="81" t="s">
        <v>282</v>
      </c>
      <c r="G35" s="81" t="s">
        <v>283</v>
      </c>
      <c r="H35" s="81" t="s">
        <v>284</v>
      </c>
      <c r="I35" s="81" t="s">
        <v>285</v>
      </c>
      <c r="J35" s="81" t="s">
        <v>286</v>
      </c>
      <c r="K35" s="81" t="s">
        <v>287</v>
      </c>
      <c r="L35" s="81" t="s">
        <v>288</v>
      </c>
      <c r="M35" s="81" t="s">
        <v>289</v>
      </c>
      <c r="N35" s="81" t="s">
        <v>290</v>
      </c>
      <c r="O35" s="81" t="s">
        <v>291</v>
      </c>
      <c r="P35" s="81" t="s">
        <v>292</v>
      </c>
      <c r="Q35" s="81" t="s">
        <v>293</v>
      </c>
      <c r="R35" s="81" t="s">
        <v>294</v>
      </c>
      <c r="S35" s="81" t="s">
        <v>292</v>
      </c>
      <c r="T35" s="81" t="s">
        <v>295</v>
      </c>
      <c r="U35" s="81" t="s">
        <v>296</v>
      </c>
      <c r="V35" s="81" t="s">
        <v>247</v>
      </c>
      <c r="W35" s="81" t="s">
        <v>297</v>
      </c>
      <c r="X35" s="81" t="s">
        <v>298</v>
      </c>
      <c r="Y35" s="81" t="s">
        <v>299</v>
      </c>
      <c r="Z35" s="81" t="s">
        <v>300</v>
      </c>
      <c r="AA35" s="81" t="s">
        <v>301</v>
      </c>
      <c r="AB35" s="81" t="s">
        <v>302</v>
      </c>
      <c r="AC35" s="81" t="s">
        <v>303</v>
      </c>
      <c r="AD35" s="81" t="s">
        <v>304</v>
      </c>
      <c r="AE35" s="81" t="s">
        <v>305</v>
      </c>
      <c r="AF35" s="81" t="s">
        <v>306</v>
      </c>
      <c r="AG35" s="81" t="s">
        <v>307</v>
      </c>
      <c r="AH35" s="81" t="s">
        <v>302</v>
      </c>
      <c r="AI35" s="81" t="s">
        <v>301</v>
      </c>
      <c r="AJ35" s="81" t="s">
        <v>306</v>
      </c>
      <c r="AK35" s="81" t="s">
        <v>308</v>
      </c>
      <c r="AL35" s="81" t="s">
        <v>309</v>
      </c>
      <c r="AM35" s="81" t="s">
        <v>296</v>
      </c>
      <c r="AN35" s="81" t="s">
        <v>310</v>
      </c>
      <c r="AO35" s="81" t="s">
        <v>304</v>
      </c>
      <c r="AP35" s="81" t="s">
        <v>305</v>
      </c>
      <c r="AQ35" s="81" t="s">
        <v>299</v>
      </c>
      <c r="AR35" s="81" t="s">
        <v>311</v>
      </c>
    </row>
    <row r="36" spans="1:44" x14ac:dyDescent="0.25">
      <c r="A36" s="80" t="s">
        <v>312</v>
      </c>
      <c r="B36" s="68">
        <v>585</v>
      </c>
      <c r="C36" s="68"/>
      <c r="D36" s="68"/>
      <c r="E36" s="69"/>
      <c r="F36" s="68"/>
    </row>
    <row r="37" spans="1:44" x14ac:dyDescent="0.25">
      <c r="A37" s="80" t="s">
        <v>313</v>
      </c>
      <c r="B37" s="68">
        <v>10</v>
      </c>
      <c r="C37" s="68"/>
      <c r="D37" s="68"/>
      <c r="E37" s="69"/>
      <c r="F37" s="68"/>
    </row>
    <row r="38" spans="1:44" ht="30" x14ac:dyDescent="0.25">
      <c r="A38" s="80" t="s">
        <v>314</v>
      </c>
      <c r="B38" s="51" t="s">
        <v>315</v>
      </c>
      <c r="C38" s="51">
        <f>+B36*B37</f>
        <v>5850</v>
      </c>
      <c r="D38" s="68"/>
      <c r="E38" s="69"/>
      <c r="F38" s="68"/>
    </row>
    <row r="39" spans="1:44" x14ac:dyDescent="0.25">
      <c r="A39" s="80" t="s">
        <v>74</v>
      </c>
      <c r="B39" s="51" t="s">
        <v>316</v>
      </c>
      <c r="C39" s="51" t="s">
        <v>317</v>
      </c>
      <c r="D39" s="68"/>
      <c r="E39" s="69"/>
      <c r="F39" s="68"/>
    </row>
    <row r="40" spans="1:44" x14ac:dyDescent="0.25">
      <c r="A40" s="80" t="s">
        <v>318</v>
      </c>
      <c r="B40" s="51" t="s">
        <v>265</v>
      </c>
      <c r="C40" s="51" t="s">
        <v>266</v>
      </c>
      <c r="D40" s="68"/>
      <c r="E40" s="69"/>
      <c r="F40" s="68"/>
    </row>
    <row r="41" spans="1:44" x14ac:dyDescent="0.25">
      <c r="A41" s="80" t="s">
        <v>75</v>
      </c>
      <c r="B41" s="51" t="s">
        <v>319</v>
      </c>
      <c r="C41" s="51" t="s">
        <v>320</v>
      </c>
      <c r="D41" s="51" t="s">
        <v>321</v>
      </c>
      <c r="E41" s="69"/>
    </row>
    <row r="42" spans="1:44" x14ac:dyDescent="0.25">
      <c r="A42" s="80" t="s">
        <v>79</v>
      </c>
      <c r="B42" s="68" t="s">
        <v>214</v>
      </c>
      <c r="C42" t="s">
        <v>322</v>
      </c>
      <c r="D42" t="s">
        <v>323</v>
      </c>
      <c r="E42" t="s">
        <v>324</v>
      </c>
      <c r="F42" t="s">
        <v>325</v>
      </c>
      <c r="G42" t="s">
        <v>326</v>
      </c>
      <c r="H42" t="s">
        <v>327</v>
      </c>
      <c r="I42" t="s">
        <v>215</v>
      </c>
      <c r="J42" t="s">
        <v>218</v>
      </c>
      <c r="K42" t="s">
        <v>328</v>
      </c>
      <c r="L42" t="s">
        <v>329</v>
      </c>
      <c r="M42" t="s">
        <v>222</v>
      </c>
      <c r="N42" t="s">
        <v>234</v>
      </c>
      <c r="O42" t="s">
        <v>235</v>
      </c>
      <c r="P42" t="s">
        <v>227</v>
      </c>
      <c r="Q42" t="s">
        <v>229</v>
      </c>
      <c r="R42" t="s">
        <v>236</v>
      </c>
      <c r="S42" t="s">
        <v>237</v>
      </c>
      <c r="T42" t="s">
        <v>330</v>
      </c>
      <c r="U42" t="s">
        <v>242</v>
      </c>
      <c r="V42" t="s">
        <v>331</v>
      </c>
      <c r="W42" t="s">
        <v>332</v>
      </c>
      <c r="X42" t="s">
        <v>333</v>
      </c>
      <c r="Y42" t="s">
        <v>334</v>
      </c>
      <c r="Z42" t="s">
        <v>256</v>
      </c>
    </row>
    <row r="43" spans="1:44" x14ac:dyDescent="0.25">
      <c r="A43" s="80" t="s">
        <v>335</v>
      </c>
      <c r="B43" s="68" t="s">
        <v>214</v>
      </c>
      <c r="C43" s="68"/>
      <c r="D43" s="68"/>
      <c r="E43" s="69"/>
    </row>
    <row r="44" spans="1:44" x14ac:dyDescent="0.25">
      <c r="A44" s="80" t="s">
        <v>336</v>
      </c>
      <c r="B44" s="51" t="s">
        <v>337</v>
      </c>
      <c r="C44" s="51" t="s">
        <v>338</v>
      </c>
      <c r="D44" s="83" t="s">
        <v>339</v>
      </c>
      <c r="E44" s="25"/>
    </row>
    <row r="45" spans="1:44" x14ac:dyDescent="0.25">
      <c r="A45" s="80" t="s">
        <v>340</v>
      </c>
      <c r="B45" s="84">
        <v>0.5</v>
      </c>
      <c r="C45" s="84">
        <v>0.5</v>
      </c>
      <c r="D45" s="85">
        <v>44367</v>
      </c>
      <c r="E45" s="25"/>
    </row>
    <row r="46" spans="1:44" x14ac:dyDescent="0.25">
      <c r="A46" s="80" t="s">
        <v>341</v>
      </c>
      <c r="B46">
        <v>20</v>
      </c>
      <c r="C46">
        <v>21</v>
      </c>
      <c r="D46">
        <v>34</v>
      </c>
      <c r="E46" s="25">
        <v>40</v>
      </c>
      <c r="F46">
        <v>54</v>
      </c>
      <c r="G46">
        <v>65</v>
      </c>
      <c r="H46">
        <v>66</v>
      </c>
      <c r="I46">
        <v>67</v>
      </c>
    </row>
    <row r="47" spans="1:44" x14ac:dyDescent="0.25">
      <c r="A47" s="80" t="s">
        <v>342</v>
      </c>
      <c r="B47" s="51" t="s">
        <v>343</v>
      </c>
      <c r="C47" s="51" t="s">
        <v>344</v>
      </c>
      <c r="E47" s="25"/>
    </row>
    <row r="48" spans="1:44" x14ac:dyDescent="0.25">
      <c r="A48" s="80"/>
      <c r="B48" t="s">
        <v>345</v>
      </c>
      <c r="C48" t="s">
        <v>346</v>
      </c>
      <c r="D48" t="s">
        <v>347</v>
      </c>
      <c r="E48" s="25" t="s">
        <v>348</v>
      </c>
      <c r="F48" t="s">
        <v>349</v>
      </c>
      <c r="G48" t="s">
        <v>350</v>
      </c>
    </row>
    <row r="49" spans="1:7" x14ac:dyDescent="0.25">
      <c r="A49" s="26"/>
      <c r="B49" s="68" t="s">
        <v>351</v>
      </c>
      <c r="C49" s="68" t="s">
        <v>352</v>
      </c>
      <c r="D49" t="s">
        <v>347</v>
      </c>
      <c r="E49" s="25" t="s">
        <v>348</v>
      </c>
      <c r="F49" t="s">
        <v>349</v>
      </c>
      <c r="G49" t="s">
        <v>350</v>
      </c>
    </row>
    <row r="50" spans="1:7" ht="15.75" thickBot="1" x14ac:dyDescent="0.3">
      <c r="A50" s="114" t="s">
        <v>403</v>
      </c>
      <c r="B50" s="51" t="s">
        <v>404</v>
      </c>
      <c r="C50" s="30"/>
      <c r="D50" s="30"/>
      <c r="E50" s="31"/>
    </row>
    <row r="51" spans="1:7" ht="15.75" thickBot="1" x14ac:dyDescent="0.3">
      <c r="C51" s="68"/>
    </row>
    <row r="52" spans="1:7" ht="15.75" thickBot="1" x14ac:dyDescent="0.3">
      <c r="A52" s="86" t="s">
        <v>353</v>
      </c>
      <c r="B52" s="87"/>
      <c r="C52" s="87"/>
      <c r="D52" s="87"/>
      <c r="E52" s="88"/>
    </row>
    <row r="53" spans="1:7" x14ac:dyDescent="0.25">
      <c r="A53" t="s">
        <v>354</v>
      </c>
      <c r="B53" s="89">
        <v>44004</v>
      </c>
    </row>
    <row r="54" spans="1:7" x14ac:dyDescent="0.25">
      <c r="A54" t="s">
        <v>355</v>
      </c>
      <c r="B54" t="s">
        <v>356</v>
      </c>
      <c r="C54" s="68"/>
    </row>
    <row r="55" spans="1:7" x14ac:dyDescent="0.25">
      <c r="A55" t="s">
        <v>357</v>
      </c>
      <c r="B55" t="s">
        <v>358</v>
      </c>
    </row>
    <row r="56" spans="1:7" x14ac:dyDescent="0.25">
      <c r="A56" t="s">
        <v>359</v>
      </c>
      <c r="B56" t="s">
        <v>171</v>
      </c>
    </row>
    <row r="57" spans="1:7" x14ac:dyDescent="0.25">
      <c r="A57" t="s">
        <v>360</v>
      </c>
      <c r="B57" t="s">
        <v>361</v>
      </c>
    </row>
    <row r="58" spans="1:7" x14ac:dyDescent="0.25">
      <c r="A58" t="s">
        <v>362</v>
      </c>
      <c r="B58" s="90" t="s">
        <v>363</v>
      </c>
    </row>
    <row r="60" spans="1:7" x14ac:dyDescent="0.25">
      <c r="A60" t="s">
        <v>364</v>
      </c>
      <c r="B60" t="s">
        <v>365</v>
      </c>
    </row>
    <row r="61" spans="1:7" ht="30" x14ac:dyDescent="0.25">
      <c r="A61" t="s">
        <v>366</v>
      </c>
      <c r="B61" s="51" t="s">
        <v>367</v>
      </c>
      <c r="C61" s="51" t="s">
        <v>368</v>
      </c>
      <c r="D61" s="51" t="s">
        <v>369</v>
      </c>
      <c r="E61" s="51" t="s">
        <v>370</v>
      </c>
      <c r="F61" s="51" t="s">
        <v>371</v>
      </c>
    </row>
    <row r="62" spans="1:7" ht="30" x14ac:dyDescent="0.25">
      <c r="A62" t="s">
        <v>372</v>
      </c>
      <c r="B62" s="51" t="s">
        <v>367</v>
      </c>
      <c r="C62" s="51" t="s">
        <v>368</v>
      </c>
      <c r="D62" s="51" t="s">
        <v>369</v>
      </c>
      <c r="E62" s="51" t="s">
        <v>370</v>
      </c>
      <c r="F62" s="51" t="s">
        <v>371</v>
      </c>
    </row>
    <row r="63" spans="1:7" ht="30" x14ac:dyDescent="0.25">
      <c r="A63" t="s">
        <v>373</v>
      </c>
      <c r="B63" s="51" t="s">
        <v>367</v>
      </c>
      <c r="C63" s="51" t="s">
        <v>368</v>
      </c>
      <c r="D63" s="51" t="s">
        <v>369</v>
      </c>
      <c r="E63" s="51" t="s">
        <v>370</v>
      </c>
      <c r="F63" s="51" t="s">
        <v>371</v>
      </c>
    </row>
    <row r="64" spans="1:7" ht="30" x14ac:dyDescent="0.25">
      <c r="A64" t="s">
        <v>374</v>
      </c>
      <c r="B64" s="51" t="s">
        <v>367</v>
      </c>
      <c r="C64" s="51" t="s">
        <v>368</v>
      </c>
      <c r="D64" s="51" t="s">
        <v>369</v>
      </c>
      <c r="E64" s="51" t="s">
        <v>370</v>
      </c>
      <c r="F64" s="51" t="s">
        <v>371</v>
      </c>
    </row>
    <row r="65" spans="1:6" ht="30" x14ac:dyDescent="0.25">
      <c r="A65" t="s">
        <v>375</v>
      </c>
      <c r="B65" s="51" t="s">
        <v>367</v>
      </c>
      <c r="C65" s="51" t="s">
        <v>368</v>
      </c>
      <c r="D65" s="51" t="s">
        <v>369</v>
      </c>
      <c r="E65" s="51" t="s">
        <v>370</v>
      </c>
      <c r="F65" s="51" t="s">
        <v>371</v>
      </c>
    </row>
    <row r="66" spans="1:6" ht="30" x14ac:dyDescent="0.25">
      <c r="A66" t="s">
        <v>376</v>
      </c>
      <c r="B66" s="51" t="s">
        <v>367</v>
      </c>
      <c r="C66" s="51" t="s">
        <v>368</v>
      </c>
      <c r="D66" s="51" t="s">
        <v>369</v>
      </c>
      <c r="E66" s="51" t="s">
        <v>370</v>
      </c>
      <c r="F66" s="51" t="s">
        <v>371</v>
      </c>
    </row>
    <row r="67" spans="1:6" ht="30" x14ac:dyDescent="0.25">
      <c r="A67" t="s">
        <v>377</v>
      </c>
      <c r="B67" s="51" t="s">
        <v>367</v>
      </c>
      <c r="C67" s="51" t="s">
        <v>368</v>
      </c>
      <c r="D67" s="51" t="s">
        <v>369</v>
      </c>
      <c r="E67" s="51" t="s">
        <v>370</v>
      </c>
      <c r="F67" s="51" t="s">
        <v>371</v>
      </c>
    </row>
  </sheetData>
  <mergeCells count="4">
    <mergeCell ref="A2:E2"/>
    <mergeCell ref="A14:E14"/>
    <mergeCell ref="A20:E20"/>
    <mergeCell ref="A52:E52"/>
  </mergeCells>
  <hyperlinks>
    <hyperlink ref="B9" r:id="rId1" xr:uid="{694F6135-ACBE-4111-92E6-55C7C36D58C9}"/>
    <hyperlink ref="B58" r:id="rId2" xr:uid="{371B927F-1670-4C7A-93E8-E10C2B511884}"/>
  </hyperlinks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AD83-8BB7-49A9-8AA6-F8FF04772412}">
  <sheetPr>
    <pageSetUpPr fitToPage="1"/>
  </sheetPr>
  <dimension ref="A1:W30"/>
  <sheetViews>
    <sheetView showGridLines="0" workbookViewId="0">
      <selection activeCell="A3" sqref="A3:J3"/>
    </sheetView>
  </sheetViews>
  <sheetFormatPr defaultRowHeight="15" x14ac:dyDescent="0.25"/>
  <cols>
    <col min="1" max="1" width="23.7109375" customWidth="1"/>
    <col min="2" max="10" width="10.7109375" customWidth="1"/>
    <col min="11" max="11" width="10" customWidth="1"/>
    <col min="12" max="12" width="23.7109375" customWidth="1"/>
    <col min="13" max="21" width="10.7109375" customWidth="1"/>
    <col min="22" max="23" width="10" customWidth="1"/>
  </cols>
  <sheetData>
    <row r="1" spans="1:21" ht="36" x14ac:dyDescent="0.55000000000000004">
      <c r="A1" s="1" t="s">
        <v>0</v>
      </c>
    </row>
    <row r="2" spans="1:21" ht="15.75" customHeight="1" thickBot="1" x14ac:dyDescent="0.3"/>
    <row r="3" spans="1:21" ht="27.95" customHeight="1" thickBot="1" x14ac:dyDescent="0.3">
      <c r="A3" s="91" t="s">
        <v>378</v>
      </c>
      <c r="B3" s="92"/>
      <c r="C3" s="92"/>
      <c r="D3" s="92"/>
      <c r="E3" s="92"/>
      <c r="F3" s="92"/>
      <c r="G3" s="92"/>
      <c r="H3" s="92"/>
      <c r="I3" s="92"/>
      <c r="J3" s="93"/>
      <c r="L3" s="91" t="s">
        <v>379</v>
      </c>
      <c r="M3" s="92"/>
      <c r="N3" s="92"/>
      <c r="O3" s="92"/>
      <c r="P3" s="92"/>
      <c r="Q3" s="92"/>
      <c r="R3" s="92"/>
      <c r="S3" s="92"/>
      <c r="T3" s="92"/>
      <c r="U3" s="93"/>
    </row>
    <row r="4" spans="1:21" ht="28.5" customHeight="1" thickBot="1" x14ac:dyDescent="0.3">
      <c r="A4" s="94" t="s">
        <v>380</v>
      </c>
      <c r="B4" s="95" t="s">
        <v>381</v>
      </c>
      <c r="C4" s="92"/>
      <c r="D4" s="93"/>
      <c r="E4" s="96" t="s">
        <v>382</v>
      </c>
      <c r="F4" s="92"/>
      <c r="G4" s="93"/>
      <c r="H4" s="96" t="s">
        <v>383</v>
      </c>
      <c r="I4" s="92"/>
      <c r="J4" s="93"/>
      <c r="K4" s="4"/>
      <c r="L4" s="94" t="s">
        <v>380</v>
      </c>
      <c r="M4" s="95" t="s">
        <v>381</v>
      </c>
      <c r="N4" s="92"/>
      <c r="O4" s="93"/>
      <c r="P4" s="96" t="s">
        <v>382</v>
      </c>
      <c r="Q4" s="92"/>
      <c r="R4" s="93"/>
      <c r="S4" s="96" t="s">
        <v>383</v>
      </c>
      <c r="T4" s="92"/>
      <c r="U4" s="93"/>
    </row>
    <row r="5" spans="1:21" ht="32.1" customHeight="1" x14ac:dyDescent="0.25">
      <c r="A5" s="97" t="s">
        <v>384</v>
      </c>
      <c r="B5" s="98" t="s">
        <v>385</v>
      </c>
      <c r="C5" s="98" t="s">
        <v>386</v>
      </c>
      <c r="D5" s="98" t="s">
        <v>387</v>
      </c>
      <c r="E5" s="98" t="s">
        <v>385</v>
      </c>
      <c r="F5" s="98" t="s">
        <v>386</v>
      </c>
      <c r="G5" s="98" t="s">
        <v>387</v>
      </c>
      <c r="H5" s="98" t="s">
        <v>385</v>
      </c>
      <c r="I5" s="98" t="s">
        <v>386</v>
      </c>
      <c r="J5" s="99" t="s">
        <v>387</v>
      </c>
      <c r="L5" s="100" t="s">
        <v>384</v>
      </c>
      <c r="M5" s="101" t="s">
        <v>385</v>
      </c>
      <c r="N5" s="101" t="s">
        <v>386</v>
      </c>
      <c r="O5" s="101" t="s">
        <v>387</v>
      </c>
      <c r="P5" s="101" t="s">
        <v>385</v>
      </c>
      <c r="Q5" s="101" t="s">
        <v>386</v>
      </c>
      <c r="R5" s="101" t="s">
        <v>387</v>
      </c>
      <c r="S5" s="101" t="s">
        <v>385</v>
      </c>
      <c r="T5" s="101" t="s">
        <v>386</v>
      </c>
      <c r="U5" s="102" t="s">
        <v>387</v>
      </c>
    </row>
    <row r="6" spans="1:21" x14ac:dyDescent="0.25">
      <c r="A6" s="103" t="s">
        <v>43</v>
      </c>
      <c r="B6" s="104">
        <v>1000</v>
      </c>
      <c r="C6" s="104">
        <f>B6*5%</f>
        <v>50</v>
      </c>
      <c r="D6" s="104">
        <f>SUM(B6:C6)</f>
        <v>1050</v>
      </c>
      <c r="E6" s="104">
        <v>1800</v>
      </c>
      <c r="F6" s="104">
        <f>E6*5%</f>
        <v>90</v>
      </c>
      <c r="G6" s="104">
        <f>SUM(E6:F6)</f>
        <v>1890</v>
      </c>
      <c r="H6" s="104">
        <v>3000</v>
      </c>
      <c r="I6" s="104">
        <f>H6*5%</f>
        <v>150</v>
      </c>
      <c r="J6" s="105">
        <f>SUM(H6:I6)</f>
        <v>3150</v>
      </c>
      <c r="L6" s="103" t="s">
        <v>43</v>
      </c>
      <c r="M6" s="104">
        <v>2000</v>
      </c>
      <c r="N6" s="104">
        <f>M6*5%</f>
        <v>100</v>
      </c>
      <c r="O6" s="106">
        <f>SUM(M6:N6)</f>
        <v>2100</v>
      </c>
      <c r="P6" s="104">
        <v>3600</v>
      </c>
      <c r="Q6" s="104">
        <f>P6*5%</f>
        <v>180</v>
      </c>
      <c r="R6" s="106">
        <f>SUM(P6:Q6)</f>
        <v>3780</v>
      </c>
      <c r="S6" s="104">
        <v>6000</v>
      </c>
      <c r="T6" s="104">
        <f>S6*5%</f>
        <v>300</v>
      </c>
      <c r="U6" s="107">
        <f>SUM(S6:T6)</f>
        <v>6300</v>
      </c>
    </row>
    <row r="7" spans="1:21" x14ac:dyDescent="0.25">
      <c r="A7" s="103" t="s">
        <v>44</v>
      </c>
      <c r="B7" s="104">
        <v>1250</v>
      </c>
      <c r="C7" s="104">
        <f>B7*5%</f>
        <v>62.5</v>
      </c>
      <c r="D7" s="104">
        <f>SUM(B7:C7)</f>
        <v>1312.5</v>
      </c>
      <c r="E7" s="104">
        <v>2250</v>
      </c>
      <c r="F7" s="104">
        <f>E7*5%</f>
        <v>112.5</v>
      </c>
      <c r="G7" s="104">
        <f>SUM(E7:F7)</f>
        <v>2362.5</v>
      </c>
      <c r="H7" s="104">
        <v>3750</v>
      </c>
      <c r="I7" s="104">
        <f>H7*5%</f>
        <v>187.5</v>
      </c>
      <c r="J7" s="105">
        <f>SUM(H7:I7)</f>
        <v>3937.5</v>
      </c>
      <c r="L7" s="103" t="s">
        <v>44</v>
      </c>
      <c r="M7" s="104">
        <v>2500</v>
      </c>
      <c r="N7" s="104">
        <f>M7*5%</f>
        <v>125</v>
      </c>
      <c r="O7" s="106">
        <f>SUM(M7:N7)</f>
        <v>2625</v>
      </c>
      <c r="P7" s="104">
        <v>4500</v>
      </c>
      <c r="Q7" s="104">
        <f>P7*5%</f>
        <v>225</v>
      </c>
      <c r="R7" s="106">
        <f>SUM(P7:Q7)</f>
        <v>4725</v>
      </c>
      <c r="S7" s="104">
        <v>7500</v>
      </c>
      <c r="T7" s="104">
        <f>S7*5%</f>
        <v>375</v>
      </c>
      <c r="U7" s="107">
        <f>SUM(S7:T7)</f>
        <v>7875</v>
      </c>
    </row>
    <row r="8" spans="1:21" x14ac:dyDescent="0.25">
      <c r="A8" s="103" t="s">
        <v>45</v>
      </c>
      <c r="B8" s="104">
        <v>1500</v>
      </c>
      <c r="C8" s="104">
        <f>B8*5%</f>
        <v>75</v>
      </c>
      <c r="D8" s="104">
        <f>SUM(B8:C8)</f>
        <v>1575</v>
      </c>
      <c r="E8" s="104">
        <v>2700</v>
      </c>
      <c r="F8" s="104">
        <f>E8*5%</f>
        <v>135</v>
      </c>
      <c r="G8" s="104">
        <f>SUM(E8:F8)</f>
        <v>2835</v>
      </c>
      <c r="H8" s="104">
        <v>4500</v>
      </c>
      <c r="I8" s="104">
        <f>H8*5%</f>
        <v>225</v>
      </c>
      <c r="J8" s="105">
        <f>SUM(H8:I8)</f>
        <v>4725</v>
      </c>
      <c r="L8" s="103" t="s">
        <v>45</v>
      </c>
      <c r="M8" s="104">
        <v>3000</v>
      </c>
      <c r="N8" s="104">
        <f>M8*5%</f>
        <v>150</v>
      </c>
      <c r="O8" s="106">
        <f>SUM(M8:N8)</f>
        <v>3150</v>
      </c>
      <c r="P8" s="104">
        <v>5400</v>
      </c>
      <c r="Q8" s="104">
        <f>P8*5%</f>
        <v>270</v>
      </c>
      <c r="R8" s="106">
        <f>SUM(P8:Q8)</f>
        <v>5670</v>
      </c>
      <c r="S8" s="104">
        <v>9000</v>
      </c>
      <c r="T8" s="104">
        <f>S8*5%</f>
        <v>450</v>
      </c>
      <c r="U8" s="107">
        <f>SUM(S8:T8)</f>
        <v>9450</v>
      </c>
    </row>
    <row r="9" spans="1:21" ht="15.75" customHeight="1" thickBot="1" x14ac:dyDescent="0.3">
      <c r="A9" s="108" t="s">
        <v>46</v>
      </c>
      <c r="B9" s="109">
        <v>0</v>
      </c>
      <c r="C9" s="109">
        <f>B9*5%</f>
        <v>0</v>
      </c>
      <c r="D9" s="109">
        <f>SUM(B9:C9)</f>
        <v>0</v>
      </c>
      <c r="E9" s="109">
        <v>0</v>
      </c>
      <c r="F9" s="109">
        <f>E9*5%</f>
        <v>0</v>
      </c>
      <c r="G9" s="109">
        <f>SUM(E9:F9)</f>
        <v>0</v>
      </c>
      <c r="H9" s="109">
        <v>0</v>
      </c>
      <c r="I9" s="109">
        <f>H9*5%</f>
        <v>0</v>
      </c>
      <c r="J9" s="110">
        <f>SUM(H9:I9)</f>
        <v>0</v>
      </c>
      <c r="L9" s="108" t="s">
        <v>46</v>
      </c>
      <c r="M9" s="109">
        <v>0</v>
      </c>
      <c r="N9" s="109">
        <f>M9*5%</f>
        <v>0</v>
      </c>
      <c r="O9" s="111">
        <f>SUM(M9:N9)</f>
        <v>0</v>
      </c>
      <c r="P9" s="109">
        <v>0</v>
      </c>
      <c r="Q9" s="109">
        <f>P9*5%</f>
        <v>0</v>
      </c>
      <c r="R9" s="111">
        <f>SUM(P9:Q9)</f>
        <v>0</v>
      </c>
      <c r="S9" s="109">
        <v>0</v>
      </c>
      <c r="T9" s="109">
        <f>S9*5%</f>
        <v>0</v>
      </c>
      <c r="U9" s="112">
        <f>SUM(S9:T9)</f>
        <v>0</v>
      </c>
    </row>
    <row r="10" spans="1:21" ht="24" customHeight="1" thickBot="1" x14ac:dyDescent="0.3">
      <c r="A10" s="113" t="s">
        <v>388</v>
      </c>
      <c r="B10" s="113"/>
      <c r="C10" s="113"/>
      <c r="D10" s="113"/>
      <c r="E10" s="113"/>
      <c r="F10" s="113"/>
      <c r="G10" s="113"/>
      <c r="H10" s="113"/>
      <c r="I10" s="113"/>
      <c r="J10" s="113"/>
      <c r="L10" s="113" t="s">
        <v>388</v>
      </c>
      <c r="M10" s="113"/>
      <c r="N10" s="113"/>
      <c r="O10" s="113"/>
      <c r="P10" s="113"/>
      <c r="Q10" s="113"/>
      <c r="R10" s="113"/>
      <c r="S10" s="113"/>
      <c r="T10" s="113"/>
      <c r="U10" s="113"/>
    </row>
    <row r="11" spans="1:21" ht="27.75" customHeight="1" thickBot="1" x14ac:dyDescent="0.3">
      <c r="A11" s="94" t="s">
        <v>380</v>
      </c>
      <c r="B11" s="95" t="s">
        <v>389</v>
      </c>
      <c r="C11" s="92"/>
      <c r="D11" s="93"/>
      <c r="E11" s="96" t="s">
        <v>390</v>
      </c>
      <c r="F11" s="92"/>
      <c r="G11" s="93"/>
      <c r="H11" s="96" t="s">
        <v>391</v>
      </c>
      <c r="I11" s="92"/>
      <c r="J11" s="93"/>
      <c r="L11" s="94" t="s">
        <v>380</v>
      </c>
      <c r="M11" s="95" t="s">
        <v>392</v>
      </c>
      <c r="N11" s="92"/>
      <c r="O11" s="93"/>
      <c r="P11" s="96" t="s">
        <v>393</v>
      </c>
      <c r="Q11" s="92"/>
      <c r="R11" s="93"/>
      <c r="S11" s="96" t="s">
        <v>394</v>
      </c>
      <c r="T11" s="92"/>
      <c r="U11" s="93"/>
    </row>
    <row r="12" spans="1:21" ht="32.1" customHeight="1" x14ac:dyDescent="0.25">
      <c r="A12" s="100" t="s">
        <v>384</v>
      </c>
      <c r="B12" s="101" t="s">
        <v>385</v>
      </c>
      <c r="C12" s="101" t="s">
        <v>386</v>
      </c>
      <c r="D12" s="101" t="s">
        <v>387</v>
      </c>
      <c r="E12" s="101" t="s">
        <v>385</v>
      </c>
      <c r="F12" s="101" t="s">
        <v>386</v>
      </c>
      <c r="G12" s="101" t="s">
        <v>387</v>
      </c>
      <c r="H12" s="101" t="s">
        <v>385</v>
      </c>
      <c r="I12" s="101" t="s">
        <v>386</v>
      </c>
      <c r="J12" s="102" t="s">
        <v>387</v>
      </c>
      <c r="L12" s="100" t="s">
        <v>384</v>
      </c>
      <c r="M12" s="101" t="s">
        <v>385</v>
      </c>
      <c r="N12" s="101" t="s">
        <v>386</v>
      </c>
      <c r="O12" s="101" t="s">
        <v>387</v>
      </c>
      <c r="P12" s="101" t="s">
        <v>385</v>
      </c>
      <c r="Q12" s="101" t="s">
        <v>386</v>
      </c>
      <c r="R12" s="101" t="s">
        <v>387</v>
      </c>
      <c r="S12" s="101" t="s">
        <v>385</v>
      </c>
      <c r="T12" s="101" t="s">
        <v>386</v>
      </c>
      <c r="U12" s="102" t="s">
        <v>387</v>
      </c>
    </row>
    <row r="13" spans="1:21" x14ac:dyDescent="0.25">
      <c r="A13" s="103" t="s">
        <v>43</v>
      </c>
      <c r="B13" s="104">
        <f>(B6*3)*80%</f>
        <v>2400</v>
      </c>
      <c r="C13" s="104">
        <f>B13*5%</f>
        <v>120</v>
      </c>
      <c r="D13" s="106">
        <f>SUM(B13:C13)</f>
        <v>2520</v>
      </c>
      <c r="E13" s="104">
        <f>(E6*3)*80%</f>
        <v>4320</v>
      </c>
      <c r="F13" s="104">
        <f>E13*5%</f>
        <v>216</v>
      </c>
      <c r="G13" s="106">
        <f>SUM(E13:F13)</f>
        <v>4536</v>
      </c>
      <c r="H13" s="104">
        <f>(H6*3)*80%</f>
        <v>7200</v>
      </c>
      <c r="I13" s="104">
        <f>H13*5%</f>
        <v>360</v>
      </c>
      <c r="J13" s="107">
        <f>SUM(H13:I13)</f>
        <v>7560</v>
      </c>
      <c r="L13" s="103" t="s">
        <v>43</v>
      </c>
      <c r="M13" s="104">
        <f>(M6*3)*80%</f>
        <v>4800</v>
      </c>
      <c r="N13" s="104">
        <f>M13*5%</f>
        <v>240</v>
      </c>
      <c r="O13" s="104">
        <f>SUM(M13:N13)</f>
        <v>5040</v>
      </c>
      <c r="P13" s="104">
        <f>(P6*3)*80%</f>
        <v>8640</v>
      </c>
      <c r="Q13" s="104">
        <f>P13*5%</f>
        <v>432</v>
      </c>
      <c r="R13" s="104">
        <f>SUM(P13:Q13)</f>
        <v>9072</v>
      </c>
      <c r="S13" s="104">
        <f>(S6*3)*80%</f>
        <v>14400</v>
      </c>
      <c r="T13" s="104">
        <f>S13*5%</f>
        <v>720</v>
      </c>
      <c r="U13" s="105">
        <f>SUM(S13:T13)</f>
        <v>15120</v>
      </c>
    </row>
    <row r="14" spans="1:21" x14ac:dyDescent="0.25">
      <c r="A14" s="103" t="s">
        <v>44</v>
      </c>
      <c r="B14" s="104">
        <f>(B7*3)*80%</f>
        <v>3000</v>
      </c>
      <c r="C14" s="104">
        <f>B14*5%</f>
        <v>150</v>
      </c>
      <c r="D14" s="106">
        <f>SUM(B14:C14)</f>
        <v>3150</v>
      </c>
      <c r="E14" s="104">
        <f>(E7*3)*80%</f>
        <v>5400</v>
      </c>
      <c r="F14" s="104">
        <f>E14*5%</f>
        <v>270</v>
      </c>
      <c r="G14" s="106">
        <f>SUM(E14:F14)</f>
        <v>5670</v>
      </c>
      <c r="H14" s="104">
        <f>(H7*3)*80%</f>
        <v>9000</v>
      </c>
      <c r="I14" s="104">
        <f>H14*5%</f>
        <v>450</v>
      </c>
      <c r="J14" s="107">
        <f>SUM(H14:I14)</f>
        <v>9450</v>
      </c>
      <c r="L14" s="103" t="s">
        <v>44</v>
      </c>
      <c r="M14" s="104">
        <f>(M7*3)*80%</f>
        <v>6000</v>
      </c>
      <c r="N14" s="104">
        <f>M14*5%</f>
        <v>300</v>
      </c>
      <c r="O14" s="104">
        <f>SUM(M14:N14)</f>
        <v>6300</v>
      </c>
      <c r="P14" s="104">
        <f>(P7*3)*80%</f>
        <v>10800</v>
      </c>
      <c r="Q14" s="104">
        <f>P14*5%</f>
        <v>540</v>
      </c>
      <c r="R14" s="104">
        <f>SUM(P14:Q14)</f>
        <v>11340</v>
      </c>
      <c r="S14" s="104">
        <f>(S7*3)*80%</f>
        <v>18000</v>
      </c>
      <c r="T14" s="104">
        <f>S14*5%</f>
        <v>900</v>
      </c>
      <c r="U14" s="105">
        <f>SUM(S14:T14)</f>
        <v>18900</v>
      </c>
    </row>
    <row r="15" spans="1:21" x14ac:dyDescent="0.25">
      <c r="A15" s="103" t="s">
        <v>45</v>
      </c>
      <c r="B15" s="104">
        <f>(B8*3)*80%</f>
        <v>3600</v>
      </c>
      <c r="C15" s="104">
        <f>B15*5%</f>
        <v>180</v>
      </c>
      <c r="D15" s="106">
        <f>SUM(B15:C15)</f>
        <v>3780</v>
      </c>
      <c r="E15" s="104">
        <f>(E8*3)*80%</f>
        <v>6480</v>
      </c>
      <c r="F15" s="104">
        <f>E15*5%</f>
        <v>324</v>
      </c>
      <c r="G15" s="106">
        <f>SUM(E15:F15)</f>
        <v>6804</v>
      </c>
      <c r="H15" s="104">
        <f>(H8*3)*80%</f>
        <v>10800</v>
      </c>
      <c r="I15" s="104">
        <f>H15*5%</f>
        <v>540</v>
      </c>
      <c r="J15" s="107">
        <f>SUM(H15:I15)</f>
        <v>11340</v>
      </c>
      <c r="L15" s="103" t="s">
        <v>45</v>
      </c>
      <c r="M15" s="104">
        <f>(M8*3)*80%</f>
        <v>7200</v>
      </c>
      <c r="N15" s="104">
        <f>M15*5%</f>
        <v>360</v>
      </c>
      <c r="O15" s="104">
        <f>SUM(M15:N15)</f>
        <v>7560</v>
      </c>
      <c r="P15" s="104">
        <f>(P8*3)*80%</f>
        <v>12960</v>
      </c>
      <c r="Q15" s="104">
        <f>P15*5%</f>
        <v>648</v>
      </c>
      <c r="R15" s="104">
        <f>SUM(P15:Q15)</f>
        <v>13608</v>
      </c>
      <c r="S15" s="104">
        <f>(S8*3)*80%</f>
        <v>21600</v>
      </c>
      <c r="T15" s="104">
        <f>S15*5%</f>
        <v>1080</v>
      </c>
      <c r="U15" s="105">
        <f>SUM(S15:T15)</f>
        <v>22680</v>
      </c>
    </row>
    <row r="16" spans="1:21" ht="15.75" customHeight="1" thickBot="1" x14ac:dyDescent="0.3">
      <c r="A16" s="108" t="s">
        <v>46</v>
      </c>
      <c r="B16" s="109">
        <v>0</v>
      </c>
      <c r="C16" s="109">
        <f>B16*5%</f>
        <v>0</v>
      </c>
      <c r="D16" s="111">
        <f>SUM(B16:C16)</f>
        <v>0</v>
      </c>
      <c r="E16" s="109">
        <v>0</v>
      </c>
      <c r="F16" s="109">
        <f>E16*5%</f>
        <v>0</v>
      </c>
      <c r="G16" s="111">
        <f>SUM(E16:F16)</f>
        <v>0</v>
      </c>
      <c r="H16" s="109">
        <v>0</v>
      </c>
      <c r="I16" s="109">
        <f>H16*5%</f>
        <v>0</v>
      </c>
      <c r="J16" s="112">
        <f>SUM(H16:I16)</f>
        <v>0</v>
      </c>
      <c r="L16" s="108" t="s">
        <v>46</v>
      </c>
      <c r="M16" s="109">
        <v>0</v>
      </c>
      <c r="N16" s="109">
        <f>M16*5%</f>
        <v>0</v>
      </c>
      <c r="O16" s="109">
        <f>SUM(M16:N16)</f>
        <v>0</v>
      </c>
      <c r="P16" s="109">
        <v>0</v>
      </c>
      <c r="Q16" s="109">
        <f>P16*5%</f>
        <v>0</v>
      </c>
      <c r="R16" s="109">
        <f>SUM(P16:Q16)</f>
        <v>0</v>
      </c>
      <c r="S16" s="109">
        <v>0</v>
      </c>
      <c r="T16" s="109">
        <f>S16*5%</f>
        <v>0</v>
      </c>
      <c r="U16" s="110">
        <f>SUM(S16:T16)</f>
        <v>0</v>
      </c>
    </row>
    <row r="17" spans="1:23" ht="24" customHeight="1" thickBot="1" x14ac:dyDescent="0.3">
      <c r="A17" s="113" t="s">
        <v>395</v>
      </c>
      <c r="B17" s="113"/>
      <c r="C17" s="113"/>
      <c r="D17" s="113"/>
      <c r="E17" s="113"/>
      <c r="F17" s="113"/>
      <c r="G17" s="113"/>
      <c r="H17" s="113"/>
      <c r="I17" s="113"/>
      <c r="J17" s="113"/>
      <c r="L17" s="113" t="s">
        <v>395</v>
      </c>
      <c r="M17" s="113"/>
      <c r="N17" s="113"/>
      <c r="O17" s="113"/>
      <c r="P17" s="113"/>
      <c r="Q17" s="113"/>
      <c r="R17" s="113"/>
      <c r="S17" s="113"/>
      <c r="T17" s="113"/>
      <c r="U17" s="113"/>
    </row>
    <row r="18" spans="1:23" ht="33.75" customHeight="1" thickBot="1" x14ac:dyDescent="0.3">
      <c r="A18" s="94" t="s">
        <v>380</v>
      </c>
      <c r="B18" s="95" t="s">
        <v>396</v>
      </c>
      <c r="C18" s="92"/>
      <c r="D18" s="93"/>
      <c r="E18" s="96" t="s">
        <v>397</v>
      </c>
      <c r="F18" s="92"/>
      <c r="G18" s="93"/>
      <c r="H18" s="96" t="s">
        <v>398</v>
      </c>
      <c r="I18" s="92"/>
      <c r="J18" s="93"/>
      <c r="L18" s="94" t="s">
        <v>380</v>
      </c>
      <c r="M18" s="95" t="s">
        <v>396</v>
      </c>
      <c r="N18" s="92"/>
      <c r="O18" s="93"/>
      <c r="P18" s="96" t="s">
        <v>397</v>
      </c>
      <c r="Q18" s="92"/>
      <c r="R18" s="93"/>
      <c r="S18" s="96" t="s">
        <v>398</v>
      </c>
      <c r="T18" s="92"/>
      <c r="U18" s="93"/>
    </row>
    <row r="19" spans="1:23" ht="32.1" customHeight="1" x14ac:dyDescent="0.25">
      <c r="A19" s="100" t="s">
        <v>384</v>
      </c>
      <c r="B19" s="101" t="s">
        <v>385</v>
      </c>
      <c r="C19" s="101" t="s">
        <v>386</v>
      </c>
      <c r="D19" s="101" t="s">
        <v>387</v>
      </c>
      <c r="E19" s="101" t="s">
        <v>385</v>
      </c>
      <c r="F19" s="101" t="s">
        <v>386</v>
      </c>
      <c r="G19" s="101" t="s">
        <v>387</v>
      </c>
      <c r="H19" s="101" t="s">
        <v>385</v>
      </c>
      <c r="I19" s="101" t="s">
        <v>386</v>
      </c>
      <c r="J19" s="102" t="s">
        <v>387</v>
      </c>
      <c r="L19" s="100" t="s">
        <v>384</v>
      </c>
      <c r="M19" s="101" t="s">
        <v>385</v>
      </c>
      <c r="N19" s="101" t="s">
        <v>386</v>
      </c>
      <c r="O19" s="101" t="s">
        <v>387</v>
      </c>
      <c r="P19" s="101" t="s">
        <v>385</v>
      </c>
      <c r="Q19" s="101" t="s">
        <v>386</v>
      </c>
      <c r="R19" s="101" t="s">
        <v>387</v>
      </c>
      <c r="S19" s="101" t="s">
        <v>385</v>
      </c>
      <c r="T19" s="101" t="s">
        <v>386</v>
      </c>
      <c r="U19" s="102" t="s">
        <v>387</v>
      </c>
    </row>
    <row r="20" spans="1:23" x14ac:dyDescent="0.25">
      <c r="A20" s="103" t="s">
        <v>43</v>
      </c>
      <c r="B20" s="104">
        <f>(B6*6)*60%</f>
        <v>3600</v>
      </c>
      <c r="C20" s="104">
        <f>B20*5%</f>
        <v>180</v>
      </c>
      <c r="D20" s="106">
        <f>SUM(B20:C20)</f>
        <v>3780</v>
      </c>
      <c r="E20" s="104">
        <f>(E6*6)*60%</f>
        <v>6480</v>
      </c>
      <c r="F20" s="104">
        <f>E20*5%</f>
        <v>324</v>
      </c>
      <c r="G20" s="106">
        <f>SUM(E20:F20)</f>
        <v>6804</v>
      </c>
      <c r="H20" s="104">
        <f>(H6*6)*60%</f>
        <v>10800</v>
      </c>
      <c r="I20" s="104">
        <f>H20*5%</f>
        <v>540</v>
      </c>
      <c r="J20" s="107">
        <f>SUM(H20:I20)</f>
        <v>11340</v>
      </c>
      <c r="K20" s="20"/>
      <c r="L20" s="103" t="s">
        <v>43</v>
      </c>
      <c r="M20" s="104">
        <f>(M6*6)*60%</f>
        <v>7200</v>
      </c>
      <c r="N20" s="104">
        <f>M20*5%</f>
        <v>360</v>
      </c>
      <c r="O20" s="106">
        <f>SUM(M20:N20)</f>
        <v>7560</v>
      </c>
      <c r="P20" s="104">
        <f>(P6*6)*60%</f>
        <v>12960</v>
      </c>
      <c r="Q20" s="104">
        <f>P20*5%</f>
        <v>648</v>
      </c>
      <c r="R20" s="106">
        <f>SUM(P20:Q20)</f>
        <v>13608</v>
      </c>
      <c r="S20" s="104">
        <f>(S6*6)*60%</f>
        <v>21600</v>
      </c>
      <c r="T20" s="104">
        <f>S20*5%</f>
        <v>1080</v>
      </c>
      <c r="U20" s="107">
        <f>SUM(S20:T20)</f>
        <v>22680</v>
      </c>
      <c r="V20" s="20"/>
    </row>
    <row r="21" spans="1:23" x14ac:dyDescent="0.25">
      <c r="A21" s="103" t="s">
        <v>44</v>
      </c>
      <c r="B21" s="104">
        <f>(B7*6)*60%</f>
        <v>4500</v>
      </c>
      <c r="C21" s="104">
        <f>B21*5%</f>
        <v>225</v>
      </c>
      <c r="D21" s="106">
        <f>SUM(B21:C21)</f>
        <v>4725</v>
      </c>
      <c r="E21" s="104">
        <f>(E7*6)*60%</f>
        <v>8100</v>
      </c>
      <c r="F21" s="104">
        <f>E21*5%</f>
        <v>405</v>
      </c>
      <c r="G21" s="106">
        <f>SUM(E21:F21)</f>
        <v>8505</v>
      </c>
      <c r="H21" s="104">
        <f>(H7*6)*60%</f>
        <v>13500</v>
      </c>
      <c r="I21" s="104">
        <f>H21*5%</f>
        <v>675</v>
      </c>
      <c r="J21" s="107">
        <f>SUM(H21:I21)</f>
        <v>14175</v>
      </c>
      <c r="L21" s="103" t="s">
        <v>44</v>
      </c>
      <c r="M21" s="104">
        <f>(M7*6)*60%</f>
        <v>9000</v>
      </c>
      <c r="N21" s="104">
        <f>M21*5%</f>
        <v>450</v>
      </c>
      <c r="O21" s="106">
        <f>SUM(M21:N21)</f>
        <v>9450</v>
      </c>
      <c r="P21" s="104">
        <f>(P7*6)*60%</f>
        <v>16200</v>
      </c>
      <c r="Q21" s="104">
        <f>P21*5%</f>
        <v>810</v>
      </c>
      <c r="R21" s="106">
        <f>SUM(P21:Q21)</f>
        <v>17010</v>
      </c>
      <c r="S21" s="104">
        <f>(S7*6)*60%</f>
        <v>27000</v>
      </c>
      <c r="T21" s="104">
        <f>S21*5%</f>
        <v>1350</v>
      </c>
      <c r="U21" s="107">
        <f>SUM(S21:T21)</f>
        <v>28350</v>
      </c>
    </row>
    <row r="22" spans="1:23" x14ac:dyDescent="0.25">
      <c r="A22" s="103" t="s">
        <v>45</v>
      </c>
      <c r="B22" s="104">
        <f>(B8*6)*60%</f>
        <v>5400</v>
      </c>
      <c r="C22" s="104">
        <f>B22*5%</f>
        <v>270</v>
      </c>
      <c r="D22" s="106">
        <f>SUM(B22:C22)</f>
        <v>5670</v>
      </c>
      <c r="E22" s="104">
        <f>(E8*6)*60%</f>
        <v>9720</v>
      </c>
      <c r="F22" s="104">
        <f>E22*5%</f>
        <v>486</v>
      </c>
      <c r="G22" s="106">
        <f>SUM(E22:F22)</f>
        <v>10206</v>
      </c>
      <c r="H22" s="104">
        <f>(H8*6)*60%</f>
        <v>16200</v>
      </c>
      <c r="I22" s="104">
        <f>H22*5%</f>
        <v>810</v>
      </c>
      <c r="J22" s="107">
        <f>SUM(H22:I22)</f>
        <v>17010</v>
      </c>
      <c r="L22" s="103" t="s">
        <v>45</v>
      </c>
      <c r="M22" s="104">
        <f>(M8*6)*60%</f>
        <v>10800</v>
      </c>
      <c r="N22" s="104">
        <f>M22*5%</f>
        <v>540</v>
      </c>
      <c r="O22" s="106">
        <f>SUM(M22:N22)</f>
        <v>11340</v>
      </c>
      <c r="P22" s="104">
        <f>(P8*6)*60%</f>
        <v>19440</v>
      </c>
      <c r="Q22" s="104">
        <f>P22*5%</f>
        <v>972</v>
      </c>
      <c r="R22" s="106">
        <f>SUM(P22:Q22)</f>
        <v>20412</v>
      </c>
      <c r="S22" s="104">
        <f>(S8*6)*60%</f>
        <v>32400</v>
      </c>
      <c r="T22" s="104">
        <f>S22*5%</f>
        <v>1620</v>
      </c>
      <c r="U22" s="107">
        <f>SUM(S22:T22)</f>
        <v>34020</v>
      </c>
    </row>
    <row r="23" spans="1:23" ht="15.75" customHeight="1" thickBot="1" x14ac:dyDescent="0.3">
      <c r="A23" s="108" t="s">
        <v>46</v>
      </c>
      <c r="B23" s="109">
        <v>0</v>
      </c>
      <c r="C23" s="109">
        <f>B23*5%</f>
        <v>0</v>
      </c>
      <c r="D23" s="111">
        <f>SUM(B23:C23)</f>
        <v>0</v>
      </c>
      <c r="E23" s="109">
        <v>0</v>
      </c>
      <c r="F23" s="109">
        <f>E23*5%</f>
        <v>0</v>
      </c>
      <c r="G23" s="111">
        <f>SUM(E23:F23)</f>
        <v>0</v>
      </c>
      <c r="H23" s="109">
        <v>0</v>
      </c>
      <c r="I23" s="109">
        <f>H23*5%</f>
        <v>0</v>
      </c>
      <c r="J23" s="112">
        <f>SUM(H23:I23)</f>
        <v>0</v>
      </c>
      <c r="L23" s="108" t="s">
        <v>46</v>
      </c>
      <c r="M23" s="109">
        <v>0</v>
      </c>
      <c r="N23" s="109">
        <f>M23*5%</f>
        <v>0</v>
      </c>
      <c r="O23" s="111">
        <f>SUM(M23:N23)</f>
        <v>0</v>
      </c>
      <c r="P23" s="109">
        <v>0</v>
      </c>
      <c r="Q23" s="109">
        <f>P23*5%</f>
        <v>0</v>
      </c>
      <c r="R23" s="111">
        <f>SUM(P23:Q23)</f>
        <v>0</v>
      </c>
      <c r="S23" s="109">
        <v>0</v>
      </c>
      <c r="T23" s="109">
        <f>S23*5%</f>
        <v>0</v>
      </c>
      <c r="U23" s="112">
        <f>SUM(S23:T23)</f>
        <v>0</v>
      </c>
    </row>
    <row r="24" spans="1:23" ht="24" customHeight="1" thickBot="1" x14ac:dyDescent="0.3">
      <c r="A24" s="113" t="s">
        <v>399</v>
      </c>
      <c r="B24" s="113"/>
      <c r="C24" s="113"/>
      <c r="D24" s="113"/>
      <c r="E24" s="113"/>
      <c r="F24" s="113"/>
      <c r="G24" s="113"/>
      <c r="H24" s="113"/>
      <c r="I24" s="113"/>
      <c r="J24" s="113"/>
      <c r="L24" s="113" t="s">
        <v>399</v>
      </c>
      <c r="M24" s="113"/>
      <c r="N24" s="113"/>
      <c r="O24" s="113"/>
      <c r="P24" s="113"/>
      <c r="Q24" s="113"/>
      <c r="R24" s="113"/>
      <c r="S24" s="113"/>
      <c r="T24" s="113"/>
      <c r="U24" s="113"/>
    </row>
    <row r="25" spans="1:23" ht="26.25" customHeight="1" thickBot="1" x14ac:dyDescent="0.3">
      <c r="A25" s="94" t="s">
        <v>380</v>
      </c>
      <c r="B25" s="95" t="s">
        <v>400</v>
      </c>
      <c r="C25" s="92"/>
      <c r="D25" s="93"/>
      <c r="E25" s="96" t="s">
        <v>401</v>
      </c>
      <c r="F25" s="92"/>
      <c r="G25" s="93"/>
      <c r="H25" s="96" t="s">
        <v>402</v>
      </c>
      <c r="I25" s="92"/>
      <c r="J25" s="93"/>
      <c r="L25" s="94" t="s">
        <v>380</v>
      </c>
      <c r="M25" s="95" t="s">
        <v>400</v>
      </c>
      <c r="N25" s="92"/>
      <c r="O25" s="93"/>
      <c r="P25" s="96" t="s">
        <v>401</v>
      </c>
      <c r="Q25" s="92"/>
      <c r="R25" s="93"/>
      <c r="S25" s="96" t="s">
        <v>402</v>
      </c>
      <c r="T25" s="92"/>
      <c r="U25" s="93"/>
    </row>
    <row r="26" spans="1:23" ht="32.1" customHeight="1" x14ac:dyDescent="0.25">
      <c r="A26" s="100" t="s">
        <v>384</v>
      </c>
      <c r="B26" s="101" t="s">
        <v>385</v>
      </c>
      <c r="C26" s="101" t="s">
        <v>386</v>
      </c>
      <c r="D26" s="101" t="s">
        <v>387</v>
      </c>
      <c r="E26" s="101" t="s">
        <v>385</v>
      </c>
      <c r="F26" s="101" t="s">
        <v>386</v>
      </c>
      <c r="G26" s="101" t="s">
        <v>387</v>
      </c>
      <c r="H26" s="101" t="s">
        <v>385</v>
      </c>
      <c r="I26" s="101" t="s">
        <v>386</v>
      </c>
      <c r="J26" s="102" t="s">
        <v>387</v>
      </c>
      <c r="L26" s="100" t="s">
        <v>384</v>
      </c>
      <c r="M26" s="101" t="s">
        <v>385</v>
      </c>
      <c r="N26" s="101" t="s">
        <v>386</v>
      </c>
      <c r="O26" s="101" t="s">
        <v>387</v>
      </c>
      <c r="P26" s="101" t="s">
        <v>385</v>
      </c>
      <c r="Q26" s="101" t="s">
        <v>386</v>
      </c>
      <c r="R26" s="101" t="s">
        <v>387</v>
      </c>
      <c r="S26" s="101" t="s">
        <v>385</v>
      </c>
      <c r="T26" s="101" t="s">
        <v>386</v>
      </c>
      <c r="U26" s="102" t="s">
        <v>387</v>
      </c>
    </row>
    <row r="27" spans="1:23" x14ac:dyDescent="0.25">
      <c r="A27" s="103" t="s">
        <v>43</v>
      </c>
      <c r="B27" s="104">
        <f>(B6*12)*40%</f>
        <v>4800</v>
      </c>
      <c r="C27" s="104">
        <f>B27*5%</f>
        <v>240</v>
      </c>
      <c r="D27" s="106">
        <f>SUM(B27:C27)</f>
        <v>5040</v>
      </c>
      <c r="E27" s="104">
        <f>(E6*12)*40%</f>
        <v>8640</v>
      </c>
      <c r="F27" s="104">
        <f>E27*5%</f>
        <v>432</v>
      </c>
      <c r="G27" s="106">
        <f>SUM(E27:F27)</f>
        <v>9072</v>
      </c>
      <c r="H27" s="104">
        <f>(H6*12)*40%</f>
        <v>14400</v>
      </c>
      <c r="I27" s="104">
        <f>H27*5%</f>
        <v>720</v>
      </c>
      <c r="J27" s="107">
        <f>SUM(H27:I27)</f>
        <v>15120</v>
      </c>
      <c r="K27" s="20"/>
      <c r="L27" s="103" t="s">
        <v>43</v>
      </c>
      <c r="M27" s="104">
        <f>(M6*12)*40%</f>
        <v>9600</v>
      </c>
      <c r="N27" s="104">
        <f>M27*5%</f>
        <v>480</v>
      </c>
      <c r="O27" s="106">
        <f>SUM(M27:N27)</f>
        <v>10080</v>
      </c>
      <c r="P27" s="104">
        <f>(P6*12)*40%</f>
        <v>17280</v>
      </c>
      <c r="Q27" s="104">
        <f>P27*5%</f>
        <v>864</v>
      </c>
      <c r="R27" s="106">
        <f>SUM(P27:Q27)</f>
        <v>18144</v>
      </c>
      <c r="S27" s="104">
        <f>(S6*12)*40%</f>
        <v>28800</v>
      </c>
      <c r="T27" s="104">
        <f>S27*5%</f>
        <v>1440</v>
      </c>
      <c r="U27" s="107">
        <f>SUM(S27:T27)</f>
        <v>30240</v>
      </c>
      <c r="V27" s="20"/>
      <c r="W27" s="20"/>
    </row>
    <row r="28" spans="1:23" x14ac:dyDescent="0.25">
      <c r="A28" s="103" t="s">
        <v>44</v>
      </c>
      <c r="B28" s="104">
        <f>(B7*12)*40%</f>
        <v>6000</v>
      </c>
      <c r="C28" s="104">
        <f>B28*5%</f>
        <v>300</v>
      </c>
      <c r="D28" s="106">
        <f>SUM(B28:C28)</f>
        <v>6300</v>
      </c>
      <c r="E28" s="104">
        <f>(E7*12)*40%</f>
        <v>10800</v>
      </c>
      <c r="F28" s="104">
        <f>E28*5%</f>
        <v>540</v>
      </c>
      <c r="G28" s="106">
        <f>SUM(E28:F28)</f>
        <v>11340</v>
      </c>
      <c r="H28" s="104">
        <f>(H7*12)*40%</f>
        <v>18000</v>
      </c>
      <c r="I28" s="104">
        <f>H28*5%</f>
        <v>900</v>
      </c>
      <c r="J28" s="107">
        <f>SUM(H28:I28)</f>
        <v>18900</v>
      </c>
      <c r="L28" s="103" t="s">
        <v>44</v>
      </c>
      <c r="M28" s="104">
        <f>(M7*12)*40%</f>
        <v>12000</v>
      </c>
      <c r="N28" s="104">
        <f>M28*5%</f>
        <v>600</v>
      </c>
      <c r="O28" s="106">
        <f>SUM(M28:N28)</f>
        <v>12600</v>
      </c>
      <c r="P28" s="104">
        <f>(P7*12)*40%</f>
        <v>21600</v>
      </c>
      <c r="Q28" s="104">
        <f>P28*5%</f>
        <v>1080</v>
      </c>
      <c r="R28" s="106">
        <f>SUM(P28:Q28)</f>
        <v>22680</v>
      </c>
      <c r="S28" s="104">
        <f>(S7*12)*40%</f>
        <v>36000</v>
      </c>
      <c r="T28" s="104">
        <f>S28*5%</f>
        <v>1800</v>
      </c>
      <c r="U28" s="107">
        <f>SUM(S28:T28)</f>
        <v>37800</v>
      </c>
    </row>
    <row r="29" spans="1:23" x14ac:dyDescent="0.25">
      <c r="A29" s="103" t="s">
        <v>45</v>
      </c>
      <c r="B29" s="104">
        <f>(B8*12)*40%</f>
        <v>7200</v>
      </c>
      <c r="C29" s="104">
        <f>B29*5%</f>
        <v>360</v>
      </c>
      <c r="D29" s="106">
        <f>SUM(B29:C29)</f>
        <v>7560</v>
      </c>
      <c r="E29" s="104">
        <f>(E8*12)*40%</f>
        <v>12960</v>
      </c>
      <c r="F29" s="104">
        <f>E29*5%</f>
        <v>648</v>
      </c>
      <c r="G29" s="106">
        <f>SUM(E29:F29)</f>
        <v>13608</v>
      </c>
      <c r="H29" s="104">
        <f>(H8*12)*40%</f>
        <v>21600</v>
      </c>
      <c r="I29" s="104">
        <f>H29*5%</f>
        <v>1080</v>
      </c>
      <c r="J29" s="107">
        <f>SUM(H29:I29)</f>
        <v>22680</v>
      </c>
      <c r="L29" s="103" t="s">
        <v>45</v>
      </c>
      <c r="M29" s="104">
        <f>(M8*12)*40%</f>
        <v>14400</v>
      </c>
      <c r="N29" s="104">
        <f>M29*5%</f>
        <v>720</v>
      </c>
      <c r="O29" s="106">
        <f>SUM(M29:N29)</f>
        <v>15120</v>
      </c>
      <c r="P29" s="104">
        <f>(P8*12)*40%</f>
        <v>25920</v>
      </c>
      <c r="Q29" s="104">
        <f>P29*5%</f>
        <v>1296</v>
      </c>
      <c r="R29" s="106">
        <f>SUM(P29:Q29)</f>
        <v>27216</v>
      </c>
      <c r="S29" s="104">
        <f>(S8*12)*40%</f>
        <v>43200</v>
      </c>
      <c r="T29" s="104">
        <f>S29*5%</f>
        <v>2160</v>
      </c>
      <c r="U29" s="107">
        <f>SUM(S29:T29)</f>
        <v>45360</v>
      </c>
    </row>
    <row r="30" spans="1:23" ht="15.75" customHeight="1" thickBot="1" x14ac:dyDescent="0.3">
      <c r="A30" s="108" t="s">
        <v>46</v>
      </c>
      <c r="B30" s="109">
        <v>0</v>
      </c>
      <c r="C30" s="109">
        <f>B30*5%</f>
        <v>0</v>
      </c>
      <c r="D30" s="111">
        <f>SUM(B30:C30)</f>
        <v>0</v>
      </c>
      <c r="E30" s="109">
        <v>0</v>
      </c>
      <c r="F30" s="109">
        <f>E30*5%</f>
        <v>0</v>
      </c>
      <c r="G30" s="111">
        <f>SUM(E30:F30)</f>
        <v>0</v>
      </c>
      <c r="H30" s="109">
        <v>0</v>
      </c>
      <c r="I30" s="109">
        <f>H30*5%</f>
        <v>0</v>
      </c>
      <c r="J30" s="112">
        <f>SUM(H30:I30)</f>
        <v>0</v>
      </c>
      <c r="L30" s="108" t="s">
        <v>46</v>
      </c>
      <c r="M30" s="109">
        <v>0</v>
      </c>
      <c r="N30" s="109">
        <f>M30*5%</f>
        <v>0</v>
      </c>
      <c r="O30" s="111">
        <f>SUM(M30:N30)</f>
        <v>0</v>
      </c>
      <c r="P30" s="109">
        <v>0</v>
      </c>
      <c r="Q30" s="109">
        <f>P30*5%</f>
        <v>0</v>
      </c>
      <c r="R30" s="111">
        <f>SUM(P30:Q30)</f>
        <v>0</v>
      </c>
      <c r="S30" s="109">
        <v>0</v>
      </c>
      <c r="T30" s="109">
        <f>S30*5%</f>
        <v>0</v>
      </c>
      <c r="U30" s="112">
        <f>SUM(S30:T30)</f>
        <v>0</v>
      </c>
    </row>
  </sheetData>
  <mergeCells count="32">
    <mergeCell ref="A24:J24"/>
    <mergeCell ref="L24:U24"/>
    <mergeCell ref="B25:D25"/>
    <mergeCell ref="E25:G25"/>
    <mergeCell ref="H25:J25"/>
    <mergeCell ref="M25:O25"/>
    <mergeCell ref="P25:R25"/>
    <mergeCell ref="S25:U25"/>
    <mergeCell ref="A17:J17"/>
    <mergeCell ref="L17:U17"/>
    <mergeCell ref="B18:D18"/>
    <mergeCell ref="E18:G18"/>
    <mergeCell ref="H18:J18"/>
    <mergeCell ref="M18:O18"/>
    <mergeCell ref="P18:R18"/>
    <mergeCell ref="S18:U18"/>
    <mergeCell ref="A10:J10"/>
    <mergeCell ref="L10:U10"/>
    <mergeCell ref="B11:D11"/>
    <mergeCell ref="E11:G11"/>
    <mergeCell ref="H11:J11"/>
    <mergeCell ref="M11:O11"/>
    <mergeCell ref="P11:R11"/>
    <mergeCell ref="S11:U11"/>
    <mergeCell ref="A3:J3"/>
    <mergeCell ref="L3:U3"/>
    <mergeCell ref="B4:D4"/>
    <mergeCell ref="E4:G4"/>
    <mergeCell ref="H4:J4"/>
    <mergeCell ref="M4:O4"/>
    <mergeCell ref="P4:R4"/>
    <mergeCell ref="S4:U4"/>
  </mergeCells>
  <printOptions horizontalCentered="1"/>
  <pageMargins left="0.25" right="0.25" top="0.45" bottom="0.45" header="0.2" footer="0.2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Working</vt:lpstr>
      <vt:lpstr>Sign Up Form</vt:lpstr>
      <vt:lpstr>Packages </vt:lpstr>
      <vt:lpstr>'Packages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Ajmal</dc:creator>
  <cp:lastModifiedBy>Muhammad Ajmal</cp:lastModifiedBy>
  <dcterms:created xsi:type="dcterms:W3CDTF">2026-08-12T06:28:49Z</dcterms:created>
  <dcterms:modified xsi:type="dcterms:W3CDTF">2026-08-12T06:40:28Z</dcterms:modified>
</cp:coreProperties>
</file>